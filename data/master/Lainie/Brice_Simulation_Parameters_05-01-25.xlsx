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threadedComments/threadedComment2.xml" ContentType="application/vnd.ms-excel.threadedcomments+xml"/>
  <Override PartName="/xl/comments4.xml" ContentType="application/vnd.openxmlformats-officedocument.spreadsheetml.comments+xml"/>
  <Override PartName="/xl/threadedComments/threadedComment3.xml" ContentType="application/vnd.ms-excel.threadedcomments+xml"/>
  <Override PartName="/xl/comments5.xml" ContentType="application/vnd.openxmlformats-officedocument.spreadsheetml.comments+xml"/>
  <Override PartName="/xl/threadedComments/threadedComment4.xml" ContentType="application/vnd.ms-excel.threadedcomments+xml"/>
  <Override PartName="/xl/drawings/drawing4.xml" ContentType="application/vnd.openxmlformats-officedocument.drawing+xml"/>
  <Override PartName="/xl/comments6.xml" ContentType="application/vnd.openxmlformats-officedocument.spreadsheetml.comments+xml"/>
  <Override PartName="/xl/threadedComments/threadedComment5.xml" ContentType="application/vnd.ms-excel.threadedcomments+xml"/>
  <Override PartName="/xl/drawings/drawing5.xml" ContentType="application/vnd.openxmlformats-officedocument.drawing+xml"/>
  <Override PartName="/xl/comments7.xml" ContentType="application/vnd.openxmlformats-officedocument.spreadsheetml.comments+xml"/>
  <Override PartName="/xl/threadedComments/threadedComment6.xml" ContentType="application/vnd.ms-excel.threadedcomments+xml"/>
  <Override PartName="/xl/drawings/drawing6.xml" ContentType="application/vnd.openxmlformats-officedocument.drawing+xml"/>
  <Override PartName="/xl/comments8.xml" ContentType="application/vnd.openxmlformats-officedocument.spreadsheetml.comments+xml"/>
  <Override PartName="/xl/threadedComments/threadedComment7.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defaultThemeVersion="202300"/>
  <mc:AlternateContent xmlns:mc="http://schemas.openxmlformats.org/markup-compatibility/2006">
    <mc:Choice Requires="x15">
      <x15ac:absPath xmlns:x15ac="http://schemas.microsoft.com/office/spreadsheetml/2010/11/ac" url="/Users/emb425/Documents/USU/Chapter3_2024/ForMichael/"/>
    </mc:Choice>
  </mc:AlternateContent>
  <xr:revisionPtr revIDLastSave="0" documentId="13_ncr:1_{7536277D-3D33-5842-A452-D3185F1A8C90}" xr6:coauthVersionLast="47" xr6:coauthVersionMax="47" xr10:uidLastSave="{00000000-0000-0000-0000-000000000000}"/>
  <bookViews>
    <workbookView xWindow="0" yWindow="760" windowWidth="30240" windowHeight="18880" activeTab="2" xr2:uid="{8E4A473C-ACAC-6243-BDBA-674B5F762DD8}"/>
  </bookViews>
  <sheets>
    <sheet name="DataSources" sheetId="2" r:id="rId1"/>
    <sheet name="ProcessVar" sheetId="3" r:id="rId2"/>
    <sheet name="Fetal Sex Ratio" sheetId="4" r:id="rId3"/>
    <sheet name="Pregnancy" sheetId="5" r:id="rId4"/>
    <sheet name="Cow Abundance" sheetId="1" r:id="rId5"/>
    <sheet name="Abundance In-Out" sheetId="6" r:id="rId6"/>
    <sheet name="Cow Age Structure" sheetId="7" r:id="rId7"/>
    <sheet name="FemBirths" sheetId="8" r:id="rId8"/>
    <sheet name="Adult Survival" sheetId="9" r:id="rId9"/>
    <sheet name="Harvest" sheetId="11" r:id="rId10"/>
    <sheet name="Calf survival" sheetId="12" r:id="rId11"/>
    <sheet name="Calf Hazards" sheetId="13"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6" i="13" l="1"/>
  <c r="O25" i="13"/>
  <c r="O24" i="13"/>
  <c r="D21" i="3"/>
  <c r="D20" i="3"/>
  <c r="P25" i="13"/>
  <c r="K29" i="13"/>
  <c r="L29" i="13"/>
  <c r="K30" i="13"/>
  <c r="L30" i="13"/>
  <c r="K31" i="13"/>
  <c r="L31" i="13"/>
  <c r="J29" i="13"/>
  <c r="I30" i="13"/>
  <c r="I29" i="13"/>
  <c r="I32" i="13"/>
  <c r="J31" i="13"/>
  <c r="I31" i="13"/>
  <c r="C31" i="13"/>
  <c r="J30" i="13"/>
  <c r="C30" i="13"/>
  <c r="C29" i="13"/>
  <c r="P58" i="12"/>
  <c r="P57" i="12"/>
  <c r="P56" i="12"/>
  <c r="P55" i="12"/>
  <c r="P54" i="12"/>
  <c r="P53" i="12"/>
  <c r="P52" i="12"/>
  <c r="P51" i="12"/>
  <c r="P50" i="12"/>
  <c r="P49" i="12"/>
  <c r="P48" i="12"/>
  <c r="P47" i="12"/>
  <c r="Q43" i="12"/>
  <c r="P43" i="12"/>
  <c r="Q42" i="12"/>
  <c r="P42" i="12"/>
  <c r="Q41" i="12"/>
  <c r="P41" i="12"/>
  <c r="N34" i="12"/>
  <c r="O25" i="12"/>
  <c r="O24" i="12"/>
  <c r="O23" i="12"/>
  <c r="O22" i="12"/>
  <c r="O21" i="12"/>
  <c r="M98" i="11" l="1"/>
  <c r="S97" i="11"/>
  <c r="R97" i="11"/>
  <c r="N97" i="11"/>
  <c r="Q95" i="11"/>
  <c r="K95" i="11"/>
  <c r="M94" i="11"/>
  <c r="T93" i="11"/>
  <c r="T92" i="11"/>
  <c r="S92" i="11"/>
  <c r="O92" i="11"/>
  <c r="C91" i="11"/>
  <c r="R90" i="11"/>
  <c r="H90" i="11"/>
  <c r="G90" i="11"/>
  <c r="L89" i="11"/>
  <c r="H89" i="11"/>
  <c r="T88" i="11"/>
  <c r="M88" i="11"/>
  <c r="T87" i="11"/>
  <c r="S87" i="11"/>
  <c r="I87" i="11"/>
  <c r="U86" i="11"/>
  <c r="N86" i="11"/>
  <c r="K86" i="11"/>
  <c r="G86" i="11"/>
  <c r="R85" i="11"/>
  <c r="Q85" i="11"/>
  <c r="P85" i="11"/>
  <c r="L84" i="11"/>
  <c r="O83" i="11"/>
  <c r="N83" i="11"/>
  <c r="M83" i="11"/>
  <c r="D83" i="11"/>
  <c r="E83" i="11" s="1"/>
  <c r="O82" i="11"/>
  <c r="N82" i="11"/>
  <c r="K82" i="11"/>
  <c r="R80" i="11"/>
  <c r="M80" i="11"/>
  <c r="H80" i="11"/>
  <c r="G80" i="11"/>
  <c r="F80" i="11"/>
  <c r="O79" i="11"/>
  <c r="E75" i="11"/>
  <c r="U73" i="11"/>
  <c r="U98" i="11" s="1"/>
  <c r="T73" i="11"/>
  <c r="T98" i="11" s="1"/>
  <c r="S73" i="11"/>
  <c r="S98" i="11" s="1"/>
  <c r="R73" i="11"/>
  <c r="R98" i="11" s="1"/>
  <c r="Q73" i="11"/>
  <c r="Q98" i="11" s="1"/>
  <c r="P73" i="11"/>
  <c r="P98" i="11" s="1"/>
  <c r="O73" i="11"/>
  <c r="O98" i="11" s="1"/>
  <c r="N73" i="11"/>
  <c r="N98" i="11" s="1"/>
  <c r="M73" i="11"/>
  <c r="L73" i="11"/>
  <c r="L98" i="11" s="1"/>
  <c r="K73" i="11"/>
  <c r="K98" i="11" s="1"/>
  <c r="J73" i="11"/>
  <c r="J98" i="11" s="1"/>
  <c r="I73" i="11"/>
  <c r="I98" i="11" s="1"/>
  <c r="H73" i="11"/>
  <c r="H98" i="11" s="1"/>
  <c r="G73" i="11"/>
  <c r="F73" i="11"/>
  <c r="F98" i="11" s="1"/>
  <c r="D73" i="11"/>
  <c r="D98" i="11" s="1"/>
  <c r="E98" i="11" s="1"/>
  <c r="C73" i="11"/>
  <c r="C98" i="11" s="1"/>
  <c r="V72" i="11"/>
  <c r="V97" i="11" s="1"/>
  <c r="U72" i="11"/>
  <c r="U97" i="11" s="1"/>
  <c r="T72" i="11"/>
  <c r="T97" i="11" s="1"/>
  <c r="S72" i="11"/>
  <c r="R72" i="11"/>
  <c r="Q72" i="11"/>
  <c r="Q97" i="11" s="1"/>
  <c r="P72" i="11"/>
  <c r="P97" i="11" s="1"/>
  <c r="O72" i="11"/>
  <c r="O97" i="11" s="1"/>
  <c r="N72" i="11"/>
  <c r="M72" i="11"/>
  <c r="M97" i="11" s="1"/>
  <c r="L72" i="11"/>
  <c r="L97" i="11" s="1"/>
  <c r="K72" i="11"/>
  <c r="K97" i="11" s="1"/>
  <c r="J72" i="11"/>
  <c r="J97" i="11" s="1"/>
  <c r="I72" i="11"/>
  <c r="I97" i="11" s="1"/>
  <c r="H72" i="11"/>
  <c r="H97" i="11" s="1"/>
  <c r="G72" i="11"/>
  <c r="G97" i="11" s="1"/>
  <c r="F72" i="11"/>
  <c r="F97" i="11" s="1"/>
  <c r="D72" i="11"/>
  <c r="D97" i="11" s="1"/>
  <c r="C72" i="11"/>
  <c r="C97" i="11" s="1"/>
  <c r="U71" i="11"/>
  <c r="U96" i="11" s="1"/>
  <c r="T71" i="11"/>
  <c r="T96" i="11" s="1"/>
  <c r="S71" i="11"/>
  <c r="S96" i="11" s="1"/>
  <c r="R71" i="11"/>
  <c r="R96" i="11" s="1"/>
  <c r="Q71" i="11"/>
  <c r="Q96" i="11" s="1"/>
  <c r="P71" i="11"/>
  <c r="P96" i="11" s="1"/>
  <c r="O71" i="11"/>
  <c r="O96" i="11" s="1"/>
  <c r="N71" i="11"/>
  <c r="N96" i="11" s="1"/>
  <c r="M71" i="11"/>
  <c r="M96" i="11" s="1"/>
  <c r="L71" i="11"/>
  <c r="L96" i="11" s="1"/>
  <c r="K71" i="11"/>
  <c r="K96" i="11" s="1"/>
  <c r="J71" i="11"/>
  <c r="J96" i="11" s="1"/>
  <c r="I71" i="11"/>
  <c r="I96" i="11" s="1"/>
  <c r="H71" i="11"/>
  <c r="H96" i="11" s="1"/>
  <c r="G71" i="11"/>
  <c r="G96" i="11" s="1"/>
  <c r="F71" i="11"/>
  <c r="F96" i="11" s="1"/>
  <c r="D71" i="11"/>
  <c r="D96" i="11" s="1"/>
  <c r="E96" i="11" s="1"/>
  <c r="C71" i="11"/>
  <c r="C96" i="11" s="1"/>
  <c r="U70" i="11"/>
  <c r="U95" i="11" s="1"/>
  <c r="T70" i="11"/>
  <c r="T95" i="11" s="1"/>
  <c r="S70" i="11"/>
  <c r="S95" i="11" s="1"/>
  <c r="R70" i="11"/>
  <c r="R95" i="11" s="1"/>
  <c r="Q70" i="11"/>
  <c r="P70" i="11"/>
  <c r="P95" i="11" s="1"/>
  <c r="O70" i="11"/>
  <c r="O95" i="11" s="1"/>
  <c r="N70" i="11"/>
  <c r="N95" i="11" s="1"/>
  <c r="M70" i="11"/>
  <c r="M95" i="11" s="1"/>
  <c r="L70" i="11"/>
  <c r="L95" i="11" s="1"/>
  <c r="K70" i="11"/>
  <c r="J70" i="11"/>
  <c r="J95" i="11" s="1"/>
  <c r="I70" i="11"/>
  <c r="I95" i="11" s="1"/>
  <c r="H70" i="11"/>
  <c r="H95" i="11" s="1"/>
  <c r="G70" i="11"/>
  <c r="G95" i="11" s="1"/>
  <c r="F70" i="11"/>
  <c r="F95" i="11" s="1"/>
  <c r="D70" i="11"/>
  <c r="D95" i="11" s="1"/>
  <c r="C70" i="11"/>
  <c r="C95" i="11" s="1"/>
  <c r="U69" i="11"/>
  <c r="U94" i="11" s="1"/>
  <c r="T69" i="11"/>
  <c r="T94" i="11" s="1"/>
  <c r="S69" i="11"/>
  <c r="S94" i="11" s="1"/>
  <c r="R69" i="11"/>
  <c r="R94" i="11" s="1"/>
  <c r="Q69" i="11"/>
  <c r="Q94" i="11" s="1"/>
  <c r="P69" i="11"/>
  <c r="P94" i="11" s="1"/>
  <c r="O69" i="11"/>
  <c r="O94" i="11" s="1"/>
  <c r="N69" i="11"/>
  <c r="N94" i="11" s="1"/>
  <c r="M69" i="11"/>
  <c r="L69" i="11"/>
  <c r="L94" i="11" s="1"/>
  <c r="K69" i="11"/>
  <c r="K94" i="11" s="1"/>
  <c r="J69" i="11"/>
  <c r="J94" i="11" s="1"/>
  <c r="I69" i="11"/>
  <c r="I94" i="11" s="1"/>
  <c r="H69" i="11"/>
  <c r="H94" i="11" s="1"/>
  <c r="G69" i="11"/>
  <c r="G94" i="11" s="1"/>
  <c r="F69" i="11"/>
  <c r="F94" i="11" s="1"/>
  <c r="D69" i="11"/>
  <c r="D94" i="11" s="1"/>
  <c r="C69" i="11"/>
  <c r="C94" i="11" s="1"/>
  <c r="U68" i="11"/>
  <c r="U93" i="11" s="1"/>
  <c r="T68" i="11"/>
  <c r="S68" i="11"/>
  <c r="S93" i="11" s="1"/>
  <c r="R68" i="11"/>
  <c r="R93" i="11" s="1"/>
  <c r="Q68" i="11"/>
  <c r="Q93" i="11" s="1"/>
  <c r="P68" i="11"/>
  <c r="P93" i="11" s="1"/>
  <c r="O68" i="11"/>
  <c r="O93" i="11" s="1"/>
  <c r="N68" i="11"/>
  <c r="N93" i="11" s="1"/>
  <c r="M68" i="11"/>
  <c r="M93" i="11" s="1"/>
  <c r="L68" i="11"/>
  <c r="L93" i="11" s="1"/>
  <c r="K68" i="11"/>
  <c r="K93" i="11" s="1"/>
  <c r="J68" i="11"/>
  <c r="J93" i="11" s="1"/>
  <c r="I68" i="11"/>
  <c r="I93" i="11" s="1"/>
  <c r="H68" i="11"/>
  <c r="H93" i="11" s="1"/>
  <c r="G68" i="11"/>
  <c r="G93" i="11" s="1"/>
  <c r="F68" i="11"/>
  <c r="F93" i="11" s="1"/>
  <c r="D68" i="11"/>
  <c r="D93" i="11" s="1"/>
  <c r="E93" i="11" s="1"/>
  <c r="C68" i="11"/>
  <c r="C93" i="11" s="1"/>
  <c r="U67" i="11"/>
  <c r="U92" i="11" s="1"/>
  <c r="T67" i="11"/>
  <c r="S67" i="11"/>
  <c r="R67" i="11"/>
  <c r="R92" i="11" s="1"/>
  <c r="Q67" i="11"/>
  <c r="Q92" i="11" s="1"/>
  <c r="P67" i="11"/>
  <c r="P92" i="11" s="1"/>
  <c r="O67" i="11"/>
  <c r="N67" i="11"/>
  <c r="N92" i="11" s="1"/>
  <c r="M67" i="11"/>
  <c r="M92" i="11" s="1"/>
  <c r="L67" i="11"/>
  <c r="L92" i="11" s="1"/>
  <c r="K67" i="11"/>
  <c r="K92" i="11" s="1"/>
  <c r="J67" i="11"/>
  <c r="J92" i="11" s="1"/>
  <c r="I67" i="11"/>
  <c r="I92" i="11" s="1"/>
  <c r="H67" i="11"/>
  <c r="H92" i="11" s="1"/>
  <c r="G67" i="11"/>
  <c r="G92" i="11" s="1"/>
  <c r="F67" i="11"/>
  <c r="F92" i="11" s="1"/>
  <c r="D67" i="11"/>
  <c r="D92" i="11" s="1"/>
  <c r="C67" i="11"/>
  <c r="C92" i="11" s="1"/>
  <c r="V66" i="11"/>
  <c r="V91" i="11" s="1"/>
  <c r="U66" i="11"/>
  <c r="U91" i="11" s="1"/>
  <c r="T66" i="11"/>
  <c r="T91" i="11" s="1"/>
  <c r="S66" i="11"/>
  <c r="S91" i="11" s="1"/>
  <c r="R66" i="11"/>
  <c r="R91" i="11" s="1"/>
  <c r="Q66" i="11"/>
  <c r="Q91" i="11" s="1"/>
  <c r="P66" i="11"/>
  <c r="P91" i="11" s="1"/>
  <c r="O66" i="11"/>
  <c r="O91" i="11" s="1"/>
  <c r="N66" i="11"/>
  <c r="N91" i="11" s="1"/>
  <c r="M66" i="11"/>
  <c r="M91" i="11" s="1"/>
  <c r="L66" i="11"/>
  <c r="L91" i="11" s="1"/>
  <c r="K66" i="11"/>
  <c r="K91" i="11" s="1"/>
  <c r="J66" i="11"/>
  <c r="J91" i="11" s="1"/>
  <c r="I66" i="11"/>
  <c r="I91" i="11" s="1"/>
  <c r="H66" i="11"/>
  <c r="H91" i="11" s="1"/>
  <c r="G66" i="11"/>
  <c r="G91" i="11" s="1"/>
  <c r="F66" i="11"/>
  <c r="F91" i="11" s="1"/>
  <c r="D66" i="11"/>
  <c r="D91" i="11" s="1"/>
  <c r="E91" i="11" s="1"/>
  <c r="C66" i="11"/>
  <c r="U65" i="11"/>
  <c r="U90" i="11" s="1"/>
  <c r="T65" i="11"/>
  <c r="T90" i="11" s="1"/>
  <c r="S65" i="11"/>
  <c r="S90" i="11" s="1"/>
  <c r="R65" i="11"/>
  <c r="Q65" i="11"/>
  <c r="Q90" i="11" s="1"/>
  <c r="P65" i="11"/>
  <c r="P90" i="11" s="1"/>
  <c r="O65" i="11"/>
  <c r="O90" i="11" s="1"/>
  <c r="N65" i="11"/>
  <c r="N90" i="11" s="1"/>
  <c r="M65" i="11"/>
  <c r="M90" i="11" s="1"/>
  <c r="L65" i="11"/>
  <c r="L90" i="11" s="1"/>
  <c r="K65" i="11"/>
  <c r="K90" i="11" s="1"/>
  <c r="J65" i="11"/>
  <c r="J90" i="11" s="1"/>
  <c r="I65" i="11"/>
  <c r="I90" i="11" s="1"/>
  <c r="H65" i="11"/>
  <c r="G65" i="11"/>
  <c r="F65" i="11"/>
  <c r="F90" i="11" s="1"/>
  <c r="D65" i="11"/>
  <c r="D90" i="11" s="1"/>
  <c r="C65" i="11"/>
  <c r="C90" i="11" s="1"/>
  <c r="U64" i="11"/>
  <c r="U89" i="11" s="1"/>
  <c r="T64" i="11"/>
  <c r="T89" i="11" s="1"/>
  <c r="S64" i="11"/>
  <c r="S89" i="11" s="1"/>
  <c r="R64" i="11"/>
  <c r="R89" i="11" s="1"/>
  <c r="Q64" i="11"/>
  <c r="Q89" i="11" s="1"/>
  <c r="P64" i="11"/>
  <c r="P89" i="11" s="1"/>
  <c r="O64" i="11"/>
  <c r="O89" i="11" s="1"/>
  <c r="N64" i="11"/>
  <c r="N89" i="11" s="1"/>
  <c r="M64" i="11"/>
  <c r="M89" i="11" s="1"/>
  <c r="L64" i="11"/>
  <c r="K64" i="11"/>
  <c r="K89" i="11" s="1"/>
  <c r="J64" i="11"/>
  <c r="J89" i="11" s="1"/>
  <c r="I64" i="11"/>
  <c r="I89" i="11" s="1"/>
  <c r="H64" i="11"/>
  <c r="G64" i="11"/>
  <c r="G89" i="11" s="1"/>
  <c r="F64" i="11"/>
  <c r="F89" i="11" s="1"/>
  <c r="D64" i="11"/>
  <c r="D89" i="11" s="1"/>
  <c r="C64" i="11"/>
  <c r="C89" i="11" s="1"/>
  <c r="U63" i="11"/>
  <c r="U88" i="11" s="1"/>
  <c r="T63" i="11"/>
  <c r="S63" i="11"/>
  <c r="S88" i="11" s="1"/>
  <c r="R63" i="11"/>
  <c r="R88" i="11" s="1"/>
  <c r="Q63" i="11"/>
  <c r="Q88" i="11" s="1"/>
  <c r="P63" i="11"/>
  <c r="P88" i="11" s="1"/>
  <c r="O63" i="11"/>
  <c r="O88" i="11" s="1"/>
  <c r="N63" i="11"/>
  <c r="N88" i="11" s="1"/>
  <c r="M63" i="11"/>
  <c r="L63" i="11"/>
  <c r="L88" i="11" s="1"/>
  <c r="K63" i="11"/>
  <c r="K88" i="11" s="1"/>
  <c r="J63" i="11"/>
  <c r="J88" i="11" s="1"/>
  <c r="I63" i="11"/>
  <c r="I88" i="11" s="1"/>
  <c r="H63" i="11"/>
  <c r="H88" i="11" s="1"/>
  <c r="G63" i="11"/>
  <c r="G88" i="11" s="1"/>
  <c r="F63" i="11"/>
  <c r="F88" i="11" s="1"/>
  <c r="D63" i="11"/>
  <c r="D88" i="11" s="1"/>
  <c r="E88" i="11" s="1"/>
  <c r="C63" i="11"/>
  <c r="C88" i="11" s="1"/>
  <c r="U62" i="11"/>
  <c r="U87" i="11" s="1"/>
  <c r="T62" i="11"/>
  <c r="S62" i="11"/>
  <c r="R62" i="11"/>
  <c r="R87" i="11" s="1"/>
  <c r="Q62" i="11"/>
  <c r="Q87" i="11" s="1"/>
  <c r="P62" i="11"/>
  <c r="P87" i="11" s="1"/>
  <c r="O62" i="11"/>
  <c r="O87" i="11" s="1"/>
  <c r="N62" i="11"/>
  <c r="N87" i="11" s="1"/>
  <c r="M62" i="11"/>
  <c r="M87" i="11" s="1"/>
  <c r="L62" i="11"/>
  <c r="L87" i="11" s="1"/>
  <c r="K62" i="11"/>
  <c r="K87" i="11" s="1"/>
  <c r="J62" i="11"/>
  <c r="J87" i="11" s="1"/>
  <c r="I62" i="11"/>
  <c r="H62" i="11"/>
  <c r="H87" i="11" s="1"/>
  <c r="G62" i="11"/>
  <c r="G87" i="11" s="1"/>
  <c r="F62" i="11"/>
  <c r="F87" i="11" s="1"/>
  <c r="D62" i="11"/>
  <c r="D87" i="11" s="1"/>
  <c r="E87" i="11" s="1"/>
  <c r="C62" i="11"/>
  <c r="C87" i="11" s="1"/>
  <c r="U61" i="11"/>
  <c r="T61" i="11"/>
  <c r="T86" i="11" s="1"/>
  <c r="S61" i="11"/>
  <c r="S86" i="11" s="1"/>
  <c r="R61" i="11"/>
  <c r="R86" i="11" s="1"/>
  <c r="Q61" i="11"/>
  <c r="Q86" i="11" s="1"/>
  <c r="P61" i="11"/>
  <c r="P86" i="11" s="1"/>
  <c r="O61" i="11"/>
  <c r="O86" i="11" s="1"/>
  <c r="N61" i="11"/>
  <c r="M61" i="11"/>
  <c r="M86" i="11" s="1"/>
  <c r="L61" i="11"/>
  <c r="L86" i="11" s="1"/>
  <c r="K61" i="11"/>
  <c r="J61" i="11"/>
  <c r="J86" i="11" s="1"/>
  <c r="I61" i="11"/>
  <c r="I86" i="11" s="1"/>
  <c r="H61" i="11"/>
  <c r="H86" i="11" s="1"/>
  <c r="G61" i="11"/>
  <c r="F61" i="11"/>
  <c r="F86" i="11" s="1"/>
  <c r="D61" i="11"/>
  <c r="D86" i="11" s="1"/>
  <c r="E86" i="11" s="1"/>
  <c r="C61" i="11"/>
  <c r="C86" i="11" s="1"/>
  <c r="U60" i="11"/>
  <c r="U85" i="11" s="1"/>
  <c r="T60" i="11"/>
  <c r="T85" i="11" s="1"/>
  <c r="S60" i="11"/>
  <c r="S85" i="11" s="1"/>
  <c r="R60" i="11"/>
  <c r="Q60" i="11"/>
  <c r="P60" i="11"/>
  <c r="O60" i="11"/>
  <c r="O85" i="11" s="1"/>
  <c r="N60" i="11"/>
  <c r="N85" i="11" s="1"/>
  <c r="M60" i="11"/>
  <c r="M85" i="11" s="1"/>
  <c r="L60" i="11"/>
  <c r="L85" i="11" s="1"/>
  <c r="K60" i="11"/>
  <c r="K85" i="11" s="1"/>
  <c r="J60" i="11"/>
  <c r="J85" i="11" s="1"/>
  <c r="I60" i="11"/>
  <c r="I85" i="11" s="1"/>
  <c r="H60" i="11"/>
  <c r="H85" i="11" s="1"/>
  <c r="G60" i="11"/>
  <c r="G85" i="11" s="1"/>
  <c r="F60" i="11"/>
  <c r="F85" i="11" s="1"/>
  <c r="D60" i="11"/>
  <c r="D85" i="11" s="1"/>
  <c r="C60" i="11"/>
  <c r="C85" i="11" s="1"/>
  <c r="U59" i="11"/>
  <c r="U84" i="11" s="1"/>
  <c r="T59" i="11"/>
  <c r="T84" i="11" s="1"/>
  <c r="S59" i="11"/>
  <c r="S84" i="11" s="1"/>
  <c r="R59" i="11"/>
  <c r="R84" i="11" s="1"/>
  <c r="Q59" i="11"/>
  <c r="Q84" i="11" s="1"/>
  <c r="P59" i="11"/>
  <c r="P84" i="11" s="1"/>
  <c r="O59" i="11"/>
  <c r="O84" i="11" s="1"/>
  <c r="N59" i="11"/>
  <c r="N84" i="11" s="1"/>
  <c r="M59" i="11"/>
  <c r="M84" i="11" s="1"/>
  <c r="L59" i="11"/>
  <c r="K59" i="11"/>
  <c r="K84" i="11" s="1"/>
  <c r="J59" i="11"/>
  <c r="J84" i="11" s="1"/>
  <c r="I59" i="11"/>
  <c r="I84" i="11" s="1"/>
  <c r="H59" i="11"/>
  <c r="G59" i="11"/>
  <c r="G84" i="11" s="1"/>
  <c r="F59" i="11"/>
  <c r="F84" i="11" s="1"/>
  <c r="D59" i="11"/>
  <c r="D84" i="11" s="1"/>
  <c r="C59" i="11"/>
  <c r="C84" i="11" s="1"/>
  <c r="U58" i="11"/>
  <c r="U83" i="11" s="1"/>
  <c r="T58" i="11"/>
  <c r="T83" i="11" s="1"/>
  <c r="S58" i="11"/>
  <c r="S83" i="11" s="1"/>
  <c r="R58" i="11"/>
  <c r="R83" i="11" s="1"/>
  <c r="Q58" i="11"/>
  <c r="Q83" i="11" s="1"/>
  <c r="P58" i="11"/>
  <c r="P83" i="11" s="1"/>
  <c r="O58" i="11"/>
  <c r="N58" i="11"/>
  <c r="M58" i="11"/>
  <c r="L58" i="11"/>
  <c r="L83" i="11" s="1"/>
  <c r="K58" i="11"/>
  <c r="K83" i="11" s="1"/>
  <c r="J58" i="11"/>
  <c r="J83" i="11" s="1"/>
  <c r="I58" i="11"/>
  <c r="I83" i="11" s="1"/>
  <c r="H58" i="11"/>
  <c r="H83" i="11" s="1"/>
  <c r="G58" i="11"/>
  <c r="G83" i="11" s="1"/>
  <c r="F58" i="11"/>
  <c r="F83" i="11" s="1"/>
  <c r="D58" i="11"/>
  <c r="C58" i="11"/>
  <c r="C83" i="11" s="1"/>
  <c r="U57" i="11"/>
  <c r="U82" i="11" s="1"/>
  <c r="T57" i="11"/>
  <c r="T82" i="11" s="1"/>
  <c r="S57" i="11"/>
  <c r="S82" i="11" s="1"/>
  <c r="R57" i="11"/>
  <c r="R82" i="11" s="1"/>
  <c r="Q57" i="11"/>
  <c r="Q82" i="11" s="1"/>
  <c r="P57" i="11"/>
  <c r="P82" i="11" s="1"/>
  <c r="O57" i="11"/>
  <c r="N57" i="11"/>
  <c r="M57" i="11"/>
  <c r="M82" i="11" s="1"/>
  <c r="L57" i="11"/>
  <c r="L82" i="11" s="1"/>
  <c r="K57" i="11"/>
  <c r="J57" i="11"/>
  <c r="J82" i="11" s="1"/>
  <c r="I57" i="11"/>
  <c r="I82" i="11" s="1"/>
  <c r="H57" i="11"/>
  <c r="H82" i="11" s="1"/>
  <c r="G57" i="11"/>
  <c r="G82" i="11" s="1"/>
  <c r="F57" i="11"/>
  <c r="F82" i="11" s="1"/>
  <c r="D57" i="11"/>
  <c r="D82" i="11" s="1"/>
  <c r="C57" i="11"/>
  <c r="C82" i="11" s="1"/>
  <c r="U56" i="11"/>
  <c r="U81" i="11" s="1"/>
  <c r="T56" i="11"/>
  <c r="T81" i="11" s="1"/>
  <c r="S56" i="11"/>
  <c r="S81" i="11" s="1"/>
  <c r="R56" i="11"/>
  <c r="R81" i="11" s="1"/>
  <c r="Q56" i="11"/>
  <c r="Q81" i="11" s="1"/>
  <c r="P56" i="11"/>
  <c r="P81" i="11" s="1"/>
  <c r="O56" i="11"/>
  <c r="O81" i="11" s="1"/>
  <c r="N56" i="11"/>
  <c r="N81" i="11" s="1"/>
  <c r="M56" i="11"/>
  <c r="M81" i="11" s="1"/>
  <c r="L56" i="11"/>
  <c r="L81" i="11" s="1"/>
  <c r="K56" i="11"/>
  <c r="K81" i="11" s="1"/>
  <c r="J56" i="11"/>
  <c r="J81" i="11" s="1"/>
  <c r="I56" i="11"/>
  <c r="I81" i="11" s="1"/>
  <c r="H56" i="11"/>
  <c r="H81" i="11" s="1"/>
  <c r="G56" i="11"/>
  <c r="G81" i="11" s="1"/>
  <c r="F56" i="11"/>
  <c r="F81" i="11" s="1"/>
  <c r="D56" i="11"/>
  <c r="D81" i="11" s="1"/>
  <c r="E81" i="11" s="1"/>
  <c r="C56" i="11"/>
  <c r="C81" i="11" s="1"/>
  <c r="U55" i="11"/>
  <c r="U80" i="11" s="1"/>
  <c r="T55" i="11"/>
  <c r="S55" i="11"/>
  <c r="R55" i="11"/>
  <c r="Q55" i="11"/>
  <c r="Q80" i="11" s="1"/>
  <c r="P55" i="11"/>
  <c r="P80" i="11" s="1"/>
  <c r="O55" i="11"/>
  <c r="O80" i="11" s="1"/>
  <c r="N55" i="11"/>
  <c r="N80" i="11" s="1"/>
  <c r="M55" i="11"/>
  <c r="L55" i="11"/>
  <c r="L80" i="11" s="1"/>
  <c r="K55" i="11"/>
  <c r="K80" i="11" s="1"/>
  <c r="J55" i="11"/>
  <c r="J80" i="11" s="1"/>
  <c r="I55" i="11"/>
  <c r="I80" i="11" s="1"/>
  <c r="H55" i="11"/>
  <c r="G55" i="11"/>
  <c r="F55" i="11"/>
  <c r="D55" i="11"/>
  <c r="D80" i="11" s="1"/>
  <c r="C55" i="11"/>
  <c r="C80" i="11" s="1"/>
  <c r="U54" i="11"/>
  <c r="U79" i="11" s="1"/>
  <c r="T54" i="11"/>
  <c r="T79" i="11" s="1"/>
  <c r="S54" i="11"/>
  <c r="S79" i="11" s="1"/>
  <c r="R54" i="11"/>
  <c r="R79" i="11" s="1"/>
  <c r="Q54" i="11"/>
  <c r="Q79" i="11" s="1"/>
  <c r="P54" i="11"/>
  <c r="P79" i="11" s="1"/>
  <c r="O54" i="11"/>
  <c r="N54" i="11"/>
  <c r="M54" i="11"/>
  <c r="L54" i="11"/>
  <c r="L79" i="11" s="1"/>
  <c r="K54" i="11"/>
  <c r="K79" i="11" s="1"/>
  <c r="J54" i="11"/>
  <c r="J79" i="11" s="1"/>
  <c r="I54" i="11"/>
  <c r="I79" i="11" s="1"/>
  <c r="H54" i="11"/>
  <c r="H79" i="11" s="1"/>
  <c r="G54" i="11"/>
  <c r="F54" i="11"/>
  <c r="D54" i="11"/>
  <c r="D79" i="11" s="1"/>
  <c r="C54" i="11"/>
  <c r="C79" i="11" s="1"/>
  <c r="V50" i="11"/>
  <c r="V49" i="11"/>
  <c r="W49" i="11" s="1"/>
  <c r="V48" i="11"/>
  <c r="V47" i="11"/>
  <c r="V46" i="11"/>
  <c r="V69" i="11" s="1"/>
  <c r="V94" i="11" s="1"/>
  <c r="V45" i="11"/>
  <c r="V68" i="11" s="1"/>
  <c r="V93" i="11" s="1"/>
  <c r="V44" i="11"/>
  <c r="V67" i="11" s="1"/>
  <c r="V92" i="11" s="1"/>
  <c r="V43" i="11"/>
  <c r="W43" i="11" s="1"/>
  <c r="W42" i="11"/>
  <c r="W65" i="11" s="1"/>
  <c r="W90" i="11" s="1"/>
  <c r="V42" i="11"/>
  <c r="V41" i="11"/>
  <c r="V40" i="11"/>
  <c r="V39" i="11"/>
  <c r="V62" i="11" s="1"/>
  <c r="V87" i="11" s="1"/>
  <c r="V38" i="11"/>
  <c r="V61" i="11" s="1"/>
  <c r="V86" i="11" s="1"/>
  <c r="V37" i="11"/>
  <c r="V60" i="11" s="1"/>
  <c r="V85" i="11" s="1"/>
  <c r="V36" i="11"/>
  <c r="V35" i="11"/>
  <c r="V34" i="11"/>
  <c r="V33" i="11"/>
  <c r="V32" i="11"/>
  <c r="V31" i="11"/>
  <c r="AC25" i="11"/>
  <c r="AB25" i="11"/>
  <c r="AA25" i="11"/>
  <c r="Z25" i="11"/>
  <c r="Y25" i="11"/>
  <c r="X25" i="11"/>
  <c r="W25" i="11"/>
  <c r="V25" i="11"/>
  <c r="U25" i="11"/>
  <c r="T25" i="11"/>
  <c r="S25" i="11"/>
  <c r="R25" i="11"/>
  <c r="Q25" i="11"/>
  <c r="P25" i="11"/>
  <c r="O25" i="11"/>
  <c r="N25" i="11"/>
  <c r="M25" i="11"/>
  <c r="L25" i="11"/>
  <c r="K25" i="11"/>
  <c r="J25" i="11"/>
  <c r="I25" i="11"/>
  <c r="H25" i="11"/>
  <c r="G25" i="11"/>
  <c r="F25" i="11"/>
  <c r="E25" i="11"/>
  <c r="D25" i="11"/>
  <c r="C25" i="11"/>
  <c r="Q51" i="8"/>
  <c r="P51" i="8"/>
  <c r="O51" i="8"/>
  <c r="N51" i="8"/>
  <c r="M51" i="8"/>
  <c r="L51" i="8"/>
  <c r="K51" i="8"/>
  <c r="J51" i="8"/>
  <c r="I51" i="8"/>
  <c r="H51" i="8"/>
  <c r="G51" i="8"/>
  <c r="F51" i="8"/>
  <c r="E51" i="8"/>
  <c r="D51" i="8"/>
  <c r="C51" i="8"/>
  <c r="Q50" i="8"/>
  <c r="P50" i="8"/>
  <c r="O50" i="8"/>
  <c r="N50" i="8"/>
  <c r="M50" i="8"/>
  <c r="L50" i="8"/>
  <c r="K50" i="8"/>
  <c r="J50" i="8"/>
  <c r="I50" i="8"/>
  <c r="H50" i="8"/>
  <c r="G50" i="8"/>
  <c r="F50" i="8"/>
  <c r="E50" i="8"/>
  <c r="D50" i="8"/>
  <c r="C50" i="8"/>
  <c r="Q49" i="8"/>
  <c r="P49" i="8"/>
  <c r="O49" i="8"/>
  <c r="N49" i="8"/>
  <c r="M49" i="8"/>
  <c r="L49" i="8"/>
  <c r="K49" i="8"/>
  <c r="J49" i="8"/>
  <c r="I49" i="8"/>
  <c r="H49" i="8"/>
  <c r="G49" i="8"/>
  <c r="F49" i="8"/>
  <c r="E49" i="8"/>
  <c r="D49" i="8"/>
  <c r="C49" i="8"/>
  <c r="T48" i="8"/>
  <c r="Q48" i="8"/>
  <c r="P48" i="8"/>
  <c r="O48" i="8"/>
  <c r="N48" i="8"/>
  <c r="M48" i="8"/>
  <c r="L48" i="8"/>
  <c r="K48" i="8"/>
  <c r="J48" i="8"/>
  <c r="I48" i="8"/>
  <c r="H48" i="8"/>
  <c r="G48" i="8"/>
  <c r="F48" i="8"/>
  <c r="E48" i="8"/>
  <c r="D48" i="8"/>
  <c r="C48" i="8"/>
  <c r="Q47" i="8"/>
  <c r="P47" i="8"/>
  <c r="O47" i="8"/>
  <c r="N47" i="8"/>
  <c r="M47" i="8"/>
  <c r="L47" i="8"/>
  <c r="K47" i="8"/>
  <c r="J47" i="8"/>
  <c r="I47" i="8"/>
  <c r="H47" i="8"/>
  <c r="G47" i="8"/>
  <c r="F47" i="8"/>
  <c r="E47" i="8"/>
  <c r="D47" i="8"/>
  <c r="C47" i="8"/>
  <c r="T46" i="8"/>
  <c r="Q46" i="8"/>
  <c r="P46" i="8"/>
  <c r="O46" i="8"/>
  <c r="N46" i="8"/>
  <c r="M46" i="8"/>
  <c r="L46" i="8"/>
  <c r="K46" i="8"/>
  <c r="J46" i="8"/>
  <c r="I46" i="8"/>
  <c r="H46" i="8"/>
  <c r="G46" i="8"/>
  <c r="F46" i="8"/>
  <c r="E46" i="8"/>
  <c r="D46" i="8"/>
  <c r="C46" i="8"/>
  <c r="Q45" i="8"/>
  <c r="P45" i="8"/>
  <c r="O45" i="8"/>
  <c r="N45" i="8"/>
  <c r="M45" i="8"/>
  <c r="L45" i="8"/>
  <c r="K45" i="8"/>
  <c r="J45" i="8"/>
  <c r="I45" i="8"/>
  <c r="H45" i="8"/>
  <c r="G45" i="8"/>
  <c r="F45" i="8"/>
  <c r="E45" i="8"/>
  <c r="D45" i="8"/>
  <c r="C45" i="8"/>
  <c r="Q44" i="8"/>
  <c r="P44" i="8"/>
  <c r="O44" i="8"/>
  <c r="N44" i="8"/>
  <c r="M44" i="8"/>
  <c r="L44" i="8"/>
  <c r="K44" i="8"/>
  <c r="J44" i="8"/>
  <c r="I44" i="8"/>
  <c r="H44" i="8"/>
  <c r="G44" i="8"/>
  <c r="F44" i="8"/>
  <c r="E44" i="8"/>
  <c r="D44" i="8"/>
  <c r="C44" i="8"/>
  <c r="T43" i="8"/>
  <c r="S43" i="8"/>
  <c r="Q43" i="8"/>
  <c r="P43" i="8"/>
  <c r="O43" i="8"/>
  <c r="N43" i="8"/>
  <c r="M43" i="8"/>
  <c r="L43" i="8"/>
  <c r="K43" i="8"/>
  <c r="J43" i="8"/>
  <c r="I43" i="8"/>
  <c r="H43" i="8"/>
  <c r="G43" i="8"/>
  <c r="F43" i="8"/>
  <c r="E43" i="8"/>
  <c r="D43" i="8"/>
  <c r="C43" i="8"/>
  <c r="Q42" i="8"/>
  <c r="P42" i="8"/>
  <c r="O42" i="8"/>
  <c r="N42" i="8"/>
  <c r="M42" i="8"/>
  <c r="L42" i="8"/>
  <c r="K42" i="8"/>
  <c r="J42" i="8"/>
  <c r="I42" i="8"/>
  <c r="H42" i="8"/>
  <c r="G42" i="8"/>
  <c r="F42" i="8"/>
  <c r="E42" i="8"/>
  <c r="D42" i="8"/>
  <c r="C42" i="8"/>
  <c r="Q41" i="8"/>
  <c r="P41" i="8"/>
  <c r="O41" i="8"/>
  <c r="N41" i="8"/>
  <c r="M41" i="8"/>
  <c r="L41" i="8"/>
  <c r="K41" i="8"/>
  <c r="J41" i="8"/>
  <c r="I41" i="8"/>
  <c r="H41" i="8"/>
  <c r="G41" i="8"/>
  <c r="F41" i="8"/>
  <c r="E41" i="8"/>
  <c r="D41" i="8"/>
  <c r="C41" i="8"/>
  <c r="T40" i="8"/>
  <c r="Q40" i="8"/>
  <c r="P40" i="8"/>
  <c r="O40" i="8"/>
  <c r="N40" i="8"/>
  <c r="M40" i="8"/>
  <c r="L40" i="8"/>
  <c r="K40" i="8"/>
  <c r="J40" i="8"/>
  <c r="I40" i="8"/>
  <c r="H40" i="8"/>
  <c r="G40" i="8"/>
  <c r="F40" i="8"/>
  <c r="E40" i="8"/>
  <c r="D40" i="8"/>
  <c r="C40" i="8"/>
  <c r="Q39" i="8"/>
  <c r="P39" i="8"/>
  <c r="O39" i="8"/>
  <c r="N39" i="8"/>
  <c r="M39" i="8"/>
  <c r="L39" i="8"/>
  <c r="K39" i="8"/>
  <c r="J39" i="8"/>
  <c r="I39" i="8"/>
  <c r="H39" i="8"/>
  <c r="G39" i="8"/>
  <c r="F39" i="8"/>
  <c r="E39" i="8"/>
  <c r="D39" i="8"/>
  <c r="C39" i="8"/>
  <c r="Q38" i="8"/>
  <c r="P38" i="8"/>
  <c r="O38" i="8"/>
  <c r="N38" i="8"/>
  <c r="M38" i="8"/>
  <c r="L38" i="8"/>
  <c r="K38" i="8"/>
  <c r="J38" i="8"/>
  <c r="I38" i="8"/>
  <c r="H38" i="8"/>
  <c r="G38" i="8"/>
  <c r="F38" i="8"/>
  <c r="E38" i="8"/>
  <c r="D38" i="8"/>
  <c r="C38" i="8"/>
  <c r="T37" i="8"/>
  <c r="Q37" i="8"/>
  <c r="P37" i="8"/>
  <c r="O37" i="8"/>
  <c r="N37" i="8"/>
  <c r="M37" i="8"/>
  <c r="L37" i="8"/>
  <c r="K37" i="8"/>
  <c r="J37" i="8"/>
  <c r="I37" i="8"/>
  <c r="H37" i="8"/>
  <c r="G37" i="8"/>
  <c r="F37" i="8"/>
  <c r="E37" i="8"/>
  <c r="D37" i="8"/>
  <c r="C37" i="8"/>
  <c r="Q36" i="8"/>
  <c r="P36" i="8"/>
  <c r="O36" i="8"/>
  <c r="N36" i="8"/>
  <c r="M36" i="8"/>
  <c r="L36" i="8"/>
  <c r="K36" i="8"/>
  <c r="J36" i="8"/>
  <c r="I36" i="8"/>
  <c r="H36" i="8"/>
  <c r="G36" i="8"/>
  <c r="F36" i="8"/>
  <c r="E36" i="8"/>
  <c r="D36" i="8"/>
  <c r="C36" i="8"/>
  <c r="T35" i="8"/>
  <c r="Q35" i="8"/>
  <c r="P35" i="8"/>
  <c r="O35" i="8"/>
  <c r="N35" i="8"/>
  <c r="M35" i="8"/>
  <c r="L35" i="8"/>
  <c r="K35" i="8"/>
  <c r="J35" i="8"/>
  <c r="I35" i="8"/>
  <c r="H35" i="8"/>
  <c r="G35" i="8"/>
  <c r="F35" i="8"/>
  <c r="E35" i="8"/>
  <c r="D35" i="8"/>
  <c r="C35" i="8"/>
  <c r="Q34" i="8"/>
  <c r="P34" i="8"/>
  <c r="O34" i="8"/>
  <c r="N34" i="8"/>
  <c r="M34" i="8"/>
  <c r="L34" i="8"/>
  <c r="K34" i="8"/>
  <c r="J34" i="8"/>
  <c r="I34" i="8"/>
  <c r="H34" i="8"/>
  <c r="G34" i="8"/>
  <c r="F34" i="8"/>
  <c r="E34" i="8"/>
  <c r="D34" i="8"/>
  <c r="C34" i="8"/>
  <c r="Q33" i="8"/>
  <c r="P33" i="8"/>
  <c r="O33" i="8"/>
  <c r="N33" i="8"/>
  <c r="M33" i="8"/>
  <c r="L33" i="8"/>
  <c r="K33" i="8"/>
  <c r="J33" i="8"/>
  <c r="I33" i="8"/>
  <c r="H33" i="8"/>
  <c r="G33" i="8"/>
  <c r="F33" i="8"/>
  <c r="E33" i="8"/>
  <c r="D33" i="8"/>
  <c r="C33" i="8"/>
  <c r="S32" i="8"/>
  <c r="Q32" i="8"/>
  <c r="P32" i="8"/>
  <c r="O32" i="8"/>
  <c r="N32" i="8"/>
  <c r="M32" i="8"/>
  <c r="M53" i="8" s="1"/>
  <c r="L32" i="8"/>
  <c r="K32" i="8"/>
  <c r="J32" i="8"/>
  <c r="I32" i="8"/>
  <c r="I53" i="8" s="1"/>
  <c r="H32" i="8"/>
  <c r="G32" i="8"/>
  <c r="F32" i="8"/>
  <c r="E32" i="8"/>
  <c r="D32" i="8"/>
  <c r="C32" i="8"/>
  <c r="C53" i="8" s="1"/>
  <c r="U4" i="8"/>
  <c r="U42" i="8" s="1"/>
  <c r="T4" i="8"/>
  <c r="T51" i="8" s="1"/>
  <c r="S4" i="8"/>
  <c r="S50" i="8" s="1"/>
  <c r="R4" i="8"/>
  <c r="R49" i="8" s="1"/>
  <c r="C88" i="7"/>
  <c r="C87" i="7"/>
  <c r="C86" i="7"/>
  <c r="C85" i="7"/>
  <c r="C84" i="7"/>
  <c r="C83" i="7"/>
  <c r="C82" i="7"/>
  <c r="C81" i="7"/>
  <c r="C80" i="7"/>
  <c r="C79" i="7"/>
  <c r="C78" i="7"/>
  <c r="C77" i="7"/>
  <c r="C76" i="7"/>
  <c r="C75" i="7"/>
  <c r="C74" i="7"/>
  <c r="C73" i="7"/>
  <c r="C72" i="7"/>
  <c r="C71" i="7"/>
  <c r="C70" i="7"/>
  <c r="C69" i="7"/>
  <c r="C89" i="7" s="1"/>
  <c r="T42" i="7"/>
  <c r="R42" i="7"/>
  <c r="N42" i="7"/>
  <c r="M42" i="7"/>
  <c r="L42" i="7"/>
  <c r="H42" i="7"/>
  <c r="G42" i="7"/>
  <c r="C42" i="7"/>
  <c r="Q41" i="7"/>
  <c r="M41" i="7"/>
  <c r="H40" i="7"/>
  <c r="V37" i="7"/>
  <c r="U37" i="7"/>
  <c r="T37" i="7"/>
  <c r="S37" i="7"/>
  <c r="R37" i="7"/>
  <c r="Q37" i="7"/>
  <c r="L37" i="7"/>
  <c r="K37" i="7"/>
  <c r="J37" i="7"/>
  <c r="I37" i="7"/>
  <c r="H37" i="7"/>
  <c r="G37" i="7"/>
  <c r="D37" i="7"/>
  <c r="C37" i="7"/>
  <c r="S36" i="7"/>
  <c r="Q36" i="7"/>
  <c r="M36" i="7"/>
  <c r="L36" i="7"/>
  <c r="K36" i="7"/>
  <c r="G36" i="7"/>
  <c r="C36" i="7"/>
  <c r="R35" i="7"/>
  <c r="Q35" i="7"/>
  <c r="M35" i="7"/>
  <c r="V32" i="7"/>
  <c r="T32" i="7"/>
  <c r="S32" i="7"/>
  <c r="N32" i="7"/>
  <c r="M32" i="7"/>
  <c r="J32" i="7"/>
  <c r="H32" i="7"/>
  <c r="G32" i="7"/>
  <c r="D32" i="7"/>
  <c r="M31" i="7"/>
  <c r="G31" i="7"/>
  <c r="D31" i="7"/>
  <c r="M30" i="7"/>
  <c r="D30" i="7"/>
  <c r="V27" i="7"/>
  <c r="U27" i="7"/>
  <c r="T27" i="7"/>
  <c r="S27" i="7"/>
  <c r="R27" i="7"/>
  <c r="M27" i="7"/>
  <c r="L27" i="7"/>
  <c r="K27" i="7"/>
  <c r="J27" i="7"/>
  <c r="I27" i="7"/>
  <c r="H27" i="7"/>
  <c r="G27" i="7"/>
  <c r="D27" i="7"/>
  <c r="T26" i="7"/>
  <c r="R26" i="7"/>
  <c r="N26" i="7"/>
  <c r="M26" i="7"/>
  <c r="L26" i="7"/>
  <c r="H26" i="7"/>
  <c r="D26" i="7"/>
  <c r="V25" i="7"/>
  <c r="R25" i="7"/>
  <c r="Q25" i="7"/>
  <c r="X21" i="7"/>
  <c r="P43" i="7" s="1"/>
  <c r="X20" i="7"/>
  <c r="P42" i="7" s="1"/>
  <c r="X19" i="7"/>
  <c r="P41" i="7" s="1"/>
  <c r="X18" i="7"/>
  <c r="P40" i="7" s="1"/>
  <c r="X17" i="7"/>
  <c r="P39" i="7" s="1"/>
  <c r="X16" i="7"/>
  <c r="P38" i="7" s="1"/>
  <c r="X15" i="7"/>
  <c r="P37" i="7" s="1"/>
  <c r="X14" i="7"/>
  <c r="P36" i="7" s="1"/>
  <c r="X13" i="7"/>
  <c r="P35" i="7" s="1"/>
  <c r="X12" i="7"/>
  <c r="P34" i="7" s="1"/>
  <c r="X11" i="7"/>
  <c r="P33" i="7" s="1"/>
  <c r="X10" i="7"/>
  <c r="P32" i="7" s="1"/>
  <c r="X9" i="7"/>
  <c r="P31" i="7" s="1"/>
  <c r="X8" i="7"/>
  <c r="P30" i="7" s="1"/>
  <c r="X7" i="7"/>
  <c r="P29" i="7" s="1"/>
  <c r="X6" i="7"/>
  <c r="P28" i="7" s="1"/>
  <c r="X5" i="7"/>
  <c r="P27" i="7" s="1"/>
  <c r="X4" i="7"/>
  <c r="P26" i="7" s="1"/>
  <c r="X3" i="7"/>
  <c r="P25" i="7" s="1"/>
  <c r="M29" i="6"/>
  <c r="L29" i="6"/>
  <c r="R29" i="6" s="1"/>
  <c r="K29" i="6"/>
  <c r="G29" i="6"/>
  <c r="Q29" i="6" s="1"/>
  <c r="R28" i="6"/>
  <c r="Q28" i="6"/>
  <c r="M28" i="6"/>
  <c r="L28" i="6"/>
  <c r="K28" i="6"/>
  <c r="G28" i="6"/>
  <c r="J27" i="6"/>
  <c r="M27" i="6" s="1"/>
  <c r="G27" i="6"/>
  <c r="Q27" i="6" s="1"/>
  <c r="J26" i="6"/>
  <c r="M26" i="6" s="1"/>
  <c r="G26" i="6"/>
  <c r="Q26" i="6" s="1"/>
  <c r="Q25" i="6"/>
  <c r="M25" i="6"/>
  <c r="J25" i="6"/>
  <c r="L25" i="6" s="1"/>
  <c r="R25" i="6" s="1"/>
  <c r="G25" i="6"/>
  <c r="M24" i="6"/>
  <c r="L24" i="6"/>
  <c r="R24" i="6" s="1"/>
  <c r="K24" i="6"/>
  <c r="J24" i="6"/>
  <c r="G24" i="6"/>
  <c r="Q24" i="6" s="1"/>
  <c r="J23" i="6"/>
  <c r="M23" i="6" s="1"/>
  <c r="G23" i="6"/>
  <c r="Q23" i="6" s="1"/>
  <c r="J22" i="6"/>
  <c r="M22" i="6" s="1"/>
  <c r="G22" i="6"/>
  <c r="Q22" i="6" s="1"/>
  <c r="J21" i="6"/>
  <c r="L21" i="6" s="1"/>
  <c r="R21" i="6" s="1"/>
  <c r="G21" i="6"/>
  <c r="Q21" i="6" s="1"/>
  <c r="Q20" i="6"/>
  <c r="M20" i="6"/>
  <c r="J20" i="6"/>
  <c r="L20" i="6" s="1"/>
  <c r="R20" i="6" s="1"/>
  <c r="G20" i="6"/>
  <c r="Q19" i="6"/>
  <c r="M19" i="6"/>
  <c r="J19" i="6"/>
  <c r="L19" i="6" s="1"/>
  <c r="R19" i="6" s="1"/>
  <c r="G19" i="6"/>
  <c r="M18" i="6"/>
  <c r="L18" i="6"/>
  <c r="R18" i="6" s="1"/>
  <c r="K18" i="6"/>
  <c r="G18" i="6"/>
  <c r="Q18" i="6" s="1"/>
  <c r="M17" i="6"/>
  <c r="L17" i="6"/>
  <c r="R17" i="6" s="1"/>
  <c r="K17" i="6"/>
  <c r="G17" i="6"/>
  <c r="Q17" i="6" s="1"/>
  <c r="M16" i="6"/>
  <c r="L16" i="6"/>
  <c r="R16" i="6" s="1"/>
  <c r="K16" i="6"/>
  <c r="G16" i="6"/>
  <c r="Q16" i="6" s="1"/>
  <c r="M15" i="6"/>
  <c r="L15" i="6"/>
  <c r="R15" i="6" s="1"/>
  <c r="K15" i="6"/>
  <c r="G15" i="6"/>
  <c r="Q15" i="6" s="1"/>
  <c r="M14" i="6"/>
  <c r="L14" i="6"/>
  <c r="R14" i="6" s="1"/>
  <c r="K14" i="6"/>
  <c r="G14" i="6"/>
  <c r="Q14" i="6" s="1"/>
  <c r="Q13" i="6"/>
  <c r="M13" i="6"/>
  <c r="L13" i="6"/>
  <c r="R13" i="6" s="1"/>
  <c r="K13" i="6"/>
  <c r="G13" i="6"/>
  <c r="Q12" i="6"/>
  <c r="M12" i="6"/>
  <c r="L12" i="6"/>
  <c r="R12" i="6" s="1"/>
  <c r="K12" i="6"/>
  <c r="G12" i="6"/>
  <c r="M11" i="6"/>
  <c r="L11" i="6"/>
  <c r="R11" i="6" s="1"/>
  <c r="K11" i="6"/>
  <c r="G11" i="6"/>
  <c r="Q11" i="6" s="1"/>
  <c r="M10" i="6"/>
  <c r="L10" i="6"/>
  <c r="R10" i="6" s="1"/>
  <c r="K10" i="6"/>
  <c r="G10" i="6"/>
  <c r="Q10" i="6" s="1"/>
  <c r="Q9" i="6"/>
  <c r="M9" i="6"/>
  <c r="L9" i="6"/>
  <c r="R9" i="6" s="1"/>
  <c r="K9" i="6"/>
  <c r="G9" i="6"/>
  <c r="M8" i="6"/>
  <c r="L8" i="6"/>
  <c r="R8" i="6" s="1"/>
  <c r="K8" i="6"/>
  <c r="G8" i="6"/>
  <c r="Q8" i="6" s="1"/>
  <c r="M7" i="6"/>
  <c r="L7" i="6"/>
  <c r="R7" i="6" s="1"/>
  <c r="K7" i="6"/>
  <c r="G7" i="6"/>
  <c r="Q7" i="6" s="1"/>
  <c r="J6" i="6"/>
  <c r="K6" i="6" s="1"/>
  <c r="G6" i="6"/>
  <c r="B6" i="6"/>
  <c r="B7" i="6" s="1"/>
  <c r="B8" i="6" s="1"/>
  <c r="B9" i="6" s="1"/>
  <c r="B10" i="6" s="1"/>
  <c r="B11" i="6" s="1"/>
  <c r="B12" i="6" s="1"/>
  <c r="B13" i="6" s="1"/>
  <c r="B14" i="6" s="1"/>
  <c r="B15" i="6" s="1"/>
  <c r="B16" i="6" s="1"/>
  <c r="B17" i="6" s="1"/>
  <c r="B18" i="6" s="1"/>
  <c r="B19" i="6" s="1"/>
  <c r="B20" i="6" s="1"/>
  <c r="B21" i="6" s="1"/>
  <c r="B22" i="6" s="1"/>
  <c r="B23" i="6" s="1"/>
  <c r="B24" i="6" s="1"/>
  <c r="B25" i="6" s="1"/>
  <c r="M5" i="6"/>
  <c r="L5" i="6"/>
  <c r="R5" i="6" s="1"/>
  <c r="K5" i="6"/>
  <c r="G5" i="6"/>
  <c r="Q5" i="6" s="1"/>
  <c r="B5" i="6"/>
  <c r="M4" i="6"/>
  <c r="L4" i="6"/>
  <c r="R4" i="6" s="1"/>
  <c r="K4" i="6"/>
  <c r="G4" i="6"/>
  <c r="Q4" i="6" s="1"/>
  <c r="E29" i="1"/>
  <c r="H29" i="1" s="1"/>
  <c r="E28" i="1"/>
  <c r="H28" i="1" s="1"/>
  <c r="D27" i="1"/>
  <c r="E27" i="1" s="1"/>
  <c r="H27" i="1" s="1"/>
  <c r="N26" i="1"/>
  <c r="D26" i="1"/>
  <c r="E26" i="1" s="1"/>
  <c r="H26" i="1" s="1"/>
  <c r="P25" i="1"/>
  <c r="D25" i="1"/>
  <c r="E25" i="1" s="1"/>
  <c r="H25" i="1" s="1"/>
  <c r="D24" i="1"/>
  <c r="E24" i="1" s="1"/>
  <c r="H24" i="1" s="1"/>
  <c r="D23" i="1"/>
  <c r="E23" i="1" s="1"/>
  <c r="H23" i="1" s="1"/>
  <c r="D22" i="1"/>
  <c r="E22" i="1" s="1"/>
  <c r="H22" i="1" s="1"/>
  <c r="D21" i="1"/>
  <c r="E21" i="1" s="1"/>
  <c r="H21" i="1" s="1"/>
  <c r="D20" i="1"/>
  <c r="E20" i="1" s="1"/>
  <c r="H20" i="1" s="1"/>
  <c r="M19" i="1"/>
  <c r="O19" i="1" s="1"/>
  <c r="D19" i="1"/>
  <c r="E19" i="1" s="1"/>
  <c r="H19" i="1" s="1"/>
  <c r="E18" i="1"/>
  <c r="H18" i="1" s="1"/>
  <c r="E17" i="1"/>
  <c r="H17" i="1" s="1"/>
  <c r="E16" i="1"/>
  <c r="H16" i="1" s="1"/>
  <c r="M15" i="1"/>
  <c r="O15" i="1" s="1"/>
  <c r="E15" i="1"/>
  <c r="H15" i="1" s="1"/>
  <c r="E14" i="1"/>
  <c r="H14" i="1" s="1"/>
  <c r="M13" i="1"/>
  <c r="O13" i="1" s="1"/>
  <c r="E13" i="1"/>
  <c r="H13" i="1" s="1"/>
  <c r="E12" i="1"/>
  <c r="H12" i="1" s="1"/>
  <c r="E11" i="1"/>
  <c r="H11" i="1" s="1"/>
  <c r="E10" i="1"/>
  <c r="H10" i="1" s="1"/>
  <c r="M9" i="1"/>
  <c r="O9" i="1" s="1"/>
  <c r="E9" i="1"/>
  <c r="H9" i="1" s="1"/>
  <c r="E8" i="1"/>
  <c r="H8" i="1" s="1"/>
  <c r="M7" i="1"/>
  <c r="O7" i="1" s="1"/>
  <c r="E7" i="1"/>
  <c r="H7" i="1" s="1"/>
  <c r="D6" i="1"/>
  <c r="E6" i="1" s="1"/>
  <c r="H6" i="1" s="1"/>
  <c r="E5" i="1"/>
  <c r="H5" i="1" s="1"/>
  <c r="B5" i="1"/>
  <c r="B6" i="1" s="1"/>
  <c r="B7" i="1" s="1"/>
  <c r="B8" i="1" s="1"/>
  <c r="B9" i="1" s="1"/>
  <c r="B10" i="1" s="1"/>
  <c r="B11" i="1" s="1"/>
  <c r="B12" i="1" s="1"/>
  <c r="B13" i="1" s="1"/>
  <c r="B14" i="1" s="1"/>
  <c r="B15" i="1" s="1"/>
  <c r="B16" i="1" s="1"/>
  <c r="B17" i="1" s="1"/>
  <c r="B18" i="1" s="1"/>
  <c r="B19" i="1" s="1"/>
  <c r="B20" i="1" s="1"/>
  <c r="B21" i="1" s="1"/>
  <c r="B22" i="1" s="1"/>
  <c r="B23" i="1" s="1"/>
  <c r="B24" i="1" s="1"/>
  <c r="B25" i="1" s="1"/>
  <c r="E4" i="1"/>
  <c r="M22" i="1" s="1"/>
  <c r="O22" i="1" s="1"/>
  <c r="B21" i="5"/>
  <c r="B18" i="5"/>
  <c r="F3" i="5"/>
  <c r="D31" i="4"/>
  <c r="D30" i="4"/>
  <c r="D29" i="4"/>
  <c r="C24" i="4"/>
  <c r="B24" i="4"/>
  <c r="B25" i="4" s="1"/>
  <c r="C23" i="4"/>
  <c r="B23" i="4"/>
  <c r="D21" i="4"/>
  <c r="D20" i="4"/>
  <c r="F19" i="4"/>
  <c r="G19" i="4" s="1"/>
  <c r="E19" i="4"/>
  <c r="F18" i="4"/>
  <c r="G18" i="4" s="1"/>
  <c r="E18" i="4"/>
  <c r="E17" i="4"/>
  <c r="F16" i="4"/>
  <c r="G16" i="4" s="1"/>
  <c r="E16" i="4"/>
  <c r="F15" i="4"/>
  <c r="G15" i="4" s="1"/>
  <c r="E15" i="4"/>
  <c r="F14" i="4"/>
  <c r="G14" i="4" s="1"/>
  <c r="E14" i="4"/>
  <c r="F13" i="4"/>
  <c r="G13" i="4" s="1"/>
  <c r="E13" i="4"/>
  <c r="F12" i="4"/>
  <c r="G12" i="4" s="1"/>
  <c r="E12" i="4"/>
  <c r="F11" i="4"/>
  <c r="G11" i="4" s="1"/>
  <c r="E11" i="4"/>
  <c r="F10" i="4"/>
  <c r="G10" i="4" s="1"/>
  <c r="E10" i="4"/>
  <c r="F9" i="4"/>
  <c r="G9" i="4" s="1"/>
  <c r="E9" i="4"/>
  <c r="F8" i="4"/>
  <c r="G8" i="4" s="1"/>
  <c r="E8" i="4"/>
  <c r="F7" i="4"/>
  <c r="G7" i="4" s="1"/>
  <c r="E7" i="4"/>
  <c r="F6" i="4"/>
  <c r="G6" i="4" s="1"/>
  <c r="E6" i="4"/>
  <c r="F5" i="4"/>
  <c r="G5" i="4" s="1"/>
  <c r="E5" i="4"/>
  <c r="W72" i="11" l="1"/>
  <c r="W97" i="11" s="1"/>
  <c r="X49" i="11"/>
  <c r="R36" i="8"/>
  <c r="R47" i="8"/>
  <c r="G30" i="7"/>
  <c r="L40" i="7"/>
  <c r="J53" i="8"/>
  <c r="S36" i="8"/>
  <c r="S47" i="8"/>
  <c r="E80" i="11"/>
  <c r="E94" i="11"/>
  <c r="H30" i="7"/>
  <c r="H31" i="7"/>
  <c r="M40" i="7"/>
  <c r="R41" i="7"/>
  <c r="K53" i="8"/>
  <c r="R35" i="8"/>
  <c r="T36" i="8"/>
  <c r="R42" i="8"/>
  <c r="R46" i="8"/>
  <c r="T47" i="8"/>
  <c r="W39" i="11"/>
  <c r="W62" i="11" s="1"/>
  <c r="W87" i="11" s="1"/>
  <c r="W45" i="11"/>
  <c r="B23" i="5"/>
  <c r="M21" i="1"/>
  <c r="O21" i="1" s="1"/>
  <c r="C26" i="7"/>
  <c r="Q26" i="7"/>
  <c r="L30" i="7"/>
  <c r="L31" i="7"/>
  <c r="I32" i="7"/>
  <c r="G33" i="7"/>
  <c r="V35" i="7"/>
  <c r="N36" i="7"/>
  <c r="Q40" i="7"/>
  <c r="V41" i="7"/>
  <c r="Q42" i="7"/>
  <c r="L53" i="8"/>
  <c r="S35" i="8"/>
  <c r="S42" i="8"/>
  <c r="S46" i="8"/>
  <c r="T50" i="8"/>
  <c r="X45" i="11"/>
  <c r="X68" i="11" s="1"/>
  <c r="X93" i="11" s="1"/>
  <c r="J75" i="11"/>
  <c r="Q33" i="7"/>
  <c r="R40" i="7"/>
  <c r="R34" i="8"/>
  <c r="S39" i="8"/>
  <c r="R45" i="8"/>
  <c r="W35" i="11"/>
  <c r="X35" i="11" s="1"/>
  <c r="V58" i="11"/>
  <c r="V83" i="11" s="1"/>
  <c r="C25" i="7"/>
  <c r="G26" i="7"/>
  <c r="S26" i="7"/>
  <c r="C29" i="7"/>
  <c r="N30" i="7"/>
  <c r="N31" i="7"/>
  <c r="L32" i="7"/>
  <c r="G34" i="7"/>
  <c r="D36" i="7"/>
  <c r="R36" i="7"/>
  <c r="V40" i="7"/>
  <c r="D42" i="7"/>
  <c r="S42" i="7"/>
  <c r="D53" i="8"/>
  <c r="N53" i="8"/>
  <c r="S34" i="8"/>
  <c r="T39" i="8"/>
  <c r="S45" i="8"/>
  <c r="W46" i="11"/>
  <c r="G25" i="7"/>
  <c r="G29" i="7"/>
  <c r="Q31" i="7"/>
  <c r="C35" i="7"/>
  <c r="G39" i="7"/>
  <c r="C41" i="7"/>
  <c r="E53" i="8"/>
  <c r="O53" i="8"/>
  <c r="R33" i="8"/>
  <c r="T34" i="8"/>
  <c r="R38" i="8"/>
  <c r="T45" i="8"/>
  <c r="S49" i="8"/>
  <c r="Q30" i="7"/>
  <c r="M17" i="1"/>
  <c r="O17" i="1" s="1"/>
  <c r="M24" i="1"/>
  <c r="O24" i="1" s="1"/>
  <c r="L6" i="6"/>
  <c r="H25" i="7"/>
  <c r="I26" i="7"/>
  <c r="U26" i="7"/>
  <c r="M29" i="7"/>
  <c r="R30" i="7"/>
  <c r="R31" i="7"/>
  <c r="G35" i="7"/>
  <c r="H36" i="7"/>
  <c r="T36" i="7"/>
  <c r="Q39" i="7"/>
  <c r="G41" i="7"/>
  <c r="V42" i="7"/>
  <c r="F53" i="8"/>
  <c r="P53" i="8"/>
  <c r="S33" i="8"/>
  <c r="S38" i="8"/>
  <c r="S44" i="8"/>
  <c r="T49" i="8"/>
  <c r="X42" i="11"/>
  <c r="X65" i="11" s="1"/>
  <c r="X90" i="11" s="1"/>
  <c r="M11" i="1"/>
  <c r="O11" i="1" s="1"/>
  <c r="M6" i="6"/>
  <c r="K19" i="6"/>
  <c r="L25" i="7"/>
  <c r="J26" i="7"/>
  <c r="V26" i="7"/>
  <c r="N27" i="7"/>
  <c r="Q29" i="7"/>
  <c r="V30" i="7"/>
  <c r="V31" i="7"/>
  <c r="Q32" i="7"/>
  <c r="H35" i="7"/>
  <c r="I36" i="7"/>
  <c r="U36" i="7"/>
  <c r="M37" i="7"/>
  <c r="C40" i="7"/>
  <c r="H41" i="7"/>
  <c r="I42" i="7"/>
  <c r="G43" i="7"/>
  <c r="G53" i="8"/>
  <c r="Q53" i="8"/>
  <c r="T33" i="8"/>
  <c r="R37" i="8"/>
  <c r="T38" i="8"/>
  <c r="T44" i="8"/>
  <c r="R48" i="8"/>
  <c r="W32" i="11"/>
  <c r="V55" i="11"/>
  <c r="V80" i="11" s="1"/>
  <c r="E89" i="11"/>
  <c r="C25" i="4"/>
  <c r="M25" i="7"/>
  <c r="K26" i="7"/>
  <c r="C27" i="7"/>
  <c r="Q27" i="7"/>
  <c r="C30" i="7"/>
  <c r="C31" i="7"/>
  <c r="C32" i="7"/>
  <c r="R32" i="7"/>
  <c r="L35" i="7"/>
  <c r="J36" i="7"/>
  <c r="V36" i="7"/>
  <c r="N37" i="7"/>
  <c r="G40" i="7"/>
  <c r="L41" i="7"/>
  <c r="J42" i="7"/>
  <c r="Q43" i="7"/>
  <c r="H53" i="8"/>
  <c r="R32" i="8"/>
  <c r="S37" i="8"/>
  <c r="R43" i="8"/>
  <c r="S48" i="8"/>
  <c r="W38" i="11"/>
  <c r="E82" i="11"/>
  <c r="W33" i="11"/>
  <c r="V56" i="11"/>
  <c r="V81" i="11" s="1"/>
  <c r="X33" i="11"/>
  <c r="X56" i="11" s="1"/>
  <c r="X81" i="11" s="1"/>
  <c r="W40" i="11"/>
  <c r="X40" i="11"/>
  <c r="X63" i="11" s="1"/>
  <c r="X88" i="11" s="1"/>
  <c r="W50" i="11"/>
  <c r="X50" i="11" s="1"/>
  <c r="X73" i="11" s="1"/>
  <c r="X98" i="11" s="1"/>
  <c r="V73" i="11"/>
  <c r="V98" i="11" s="1"/>
  <c r="V57" i="11"/>
  <c r="V82" i="11" s="1"/>
  <c r="V63" i="11"/>
  <c r="V88" i="11" s="1"/>
  <c r="M79" i="11"/>
  <c r="M75" i="11"/>
  <c r="C75" i="11"/>
  <c r="V54" i="11"/>
  <c r="N79" i="11"/>
  <c r="N75" i="11"/>
  <c r="O75" i="11"/>
  <c r="W58" i="11"/>
  <c r="W83" i="11" s="1"/>
  <c r="H84" i="11"/>
  <c r="H75" i="11"/>
  <c r="R75" i="11"/>
  <c r="D75" i="11"/>
  <c r="S80" i="11"/>
  <c r="S75" i="11"/>
  <c r="W34" i="11"/>
  <c r="X34" i="11" s="1"/>
  <c r="X57" i="11" s="1"/>
  <c r="X82" i="11" s="1"/>
  <c r="V59" i="11"/>
  <c r="V84" i="11" s="1"/>
  <c r="W36" i="11"/>
  <c r="X36" i="11" s="1"/>
  <c r="X59" i="11" s="1"/>
  <c r="X84" i="11" s="1"/>
  <c r="W69" i="11"/>
  <c r="W94" i="11" s="1"/>
  <c r="Z49" i="11"/>
  <c r="Z72" i="11" s="1"/>
  <c r="Z97" i="11" s="1"/>
  <c r="X72" i="11"/>
  <c r="X97" i="11" s="1"/>
  <c r="T80" i="11"/>
  <c r="T75" i="11"/>
  <c r="W31" i="11"/>
  <c r="W66" i="11"/>
  <c r="W91" i="11" s="1"/>
  <c r="X43" i="11"/>
  <c r="Y43" i="11"/>
  <c r="Y66" i="11" s="1"/>
  <c r="Y91" i="11" s="1"/>
  <c r="X46" i="11"/>
  <c r="Y49" i="11"/>
  <c r="Y72" i="11" s="1"/>
  <c r="Y97" i="11" s="1"/>
  <c r="E84" i="11"/>
  <c r="E92" i="11"/>
  <c r="W37" i="11"/>
  <c r="W48" i="11"/>
  <c r="F75" i="11"/>
  <c r="P75" i="11"/>
  <c r="V65" i="11"/>
  <c r="V90" i="11" s="1"/>
  <c r="V70" i="11"/>
  <c r="V95" i="11" s="1"/>
  <c r="F79" i="11"/>
  <c r="E79" i="11" s="1"/>
  <c r="G75" i="11"/>
  <c r="Q75" i="11"/>
  <c r="I75" i="11"/>
  <c r="U75" i="11"/>
  <c r="G79" i="11"/>
  <c r="Y42" i="11"/>
  <c r="Y65" i="11" s="1"/>
  <c r="Y90" i="11" s="1"/>
  <c r="E85" i="11"/>
  <c r="E95" i="11"/>
  <c r="K75" i="11"/>
  <c r="E97" i="11"/>
  <c r="W47" i="11"/>
  <c r="V71" i="11"/>
  <c r="V96" i="11" s="1"/>
  <c r="L75" i="11"/>
  <c r="X39" i="11"/>
  <c r="X62" i="11" s="1"/>
  <c r="X87" i="11" s="1"/>
  <c r="Y45" i="11"/>
  <c r="Y68" i="11" s="1"/>
  <c r="Y93" i="11" s="1"/>
  <c r="W41" i="11"/>
  <c r="X41" i="11" s="1"/>
  <c r="X64" i="11" s="1"/>
  <c r="X89" i="11" s="1"/>
  <c r="W44" i="11"/>
  <c r="X44" i="11" s="1"/>
  <c r="X67" i="11" s="1"/>
  <c r="X92" i="11" s="1"/>
  <c r="X47" i="11"/>
  <c r="X70" i="11" s="1"/>
  <c r="X95" i="11" s="1"/>
  <c r="E90" i="11"/>
  <c r="W68" i="11"/>
  <c r="W93" i="11" s="1"/>
  <c r="V64" i="11"/>
  <c r="V89" i="11" s="1"/>
  <c r="Q34" i="7"/>
  <c r="G38" i="7"/>
  <c r="U41" i="8"/>
  <c r="U51" i="8"/>
  <c r="I25" i="7"/>
  <c r="S25" i="7"/>
  <c r="I28" i="7"/>
  <c r="S28" i="7"/>
  <c r="I29" i="7"/>
  <c r="S29" i="7"/>
  <c r="I30" i="7"/>
  <c r="S30" i="7"/>
  <c r="I31" i="7"/>
  <c r="S31" i="7"/>
  <c r="I33" i="7"/>
  <c r="S33" i="7"/>
  <c r="I34" i="7"/>
  <c r="S34" i="7"/>
  <c r="I35" i="7"/>
  <c r="S35" i="7"/>
  <c r="I38" i="7"/>
  <c r="S38" i="7"/>
  <c r="I39" i="7"/>
  <c r="S39" i="7"/>
  <c r="I40" i="7"/>
  <c r="S40" i="7"/>
  <c r="I41" i="7"/>
  <c r="S41" i="7"/>
  <c r="I43" i="7"/>
  <c r="S43" i="7"/>
  <c r="U39" i="8"/>
  <c r="U49" i="8"/>
  <c r="G28" i="7"/>
  <c r="H28" i="7"/>
  <c r="H29" i="7"/>
  <c r="H33" i="7"/>
  <c r="R33" i="7"/>
  <c r="R34" i="7"/>
  <c r="R38" i="7"/>
  <c r="U40" i="8"/>
  <c r="U50" i="8"/>
  <c r="T25" i="7"/>
  <c r="T28" i="7"/>
  <c r="J30" i="7"/>
  <c r="J31" i="7"/>
  <c r="T31" i="7"/>
  <c r="J33" i="7"/>
  <c r="J35" i="7"/>
  <c r="T39" i="7"/>
  <c r="T40" i="7"/>
  <c r="T41" i="7"/>
  <c r="T43" i="7"/>
  <c r="U38" i="8"/>
  <c r="U48" i="8"/>
  <c r="Q28" i="7"/>
  <c r="Q38" i="7"/>
  <c r="R28" i="7"/>
  <c r="R29" i="7"/>
  <c r="H34" i="7"/>
  <c r="H38" i="7"/>
  <c r="H39" i="7"/>
  <c r="R39" i="7"/>
  <c r="H43" i="7"/>
  <c r="R43" i="7"/>
  <c r="J25" i="7"/>
  <c r="J28" i="7"/>
  <c r="J29" i="7"/>
  <c r="T29" i="7"/>
  <c r="T30" i="7"/>
  <c r="T33" i="7"/>
  <c r="J34" i="7"/>
  <c r="T34" i="7"/>
  <c r="T35" i="7"/>
  <c r="J38" i="7"/>
  <c r="T38" i="7"/>
  <c r="J39" i="7"/>
  <c r="J40" i="7"/>
  <c r="J41" i="7"/>
  <c r="J43" i="7"/>
  <c r="K25" i="7"/>
  <c r="U25" i="7"/>
  <c r="K28" i="7"/>
  <c r="U28" i="7"/>
  <c r="K29" i="7"/>
  <c r="U29" i="7"/>
  <c r="K30" i="7"/>
  <c r="U30" i="7"/>
  <c r="K31" i="7"/>
  <c r="U31" i="7"/>
  <c r="K32" i="7"/>
  <c r="U32" i="7"/>
  <c r="K33" i="7"/>
  <c r="U33" i="7"/>
  <c r="K34" i="7"/>
  <c r="U34" i="7"/>
  <c r="K35" i="7"/>
  <c r="U35" i="7"/>
  <c r="K38" i="7"/>
  <c r="U38" i="7"/>
  <c r="K39" i="7"/>
  <c r="U39" i="7"/>
  <c r="K40" i="7"/>
  <c r="U40" i="7"/>
  <c r="K41" i="7"/>
  <c r="U41" i="7"/>
  <c r="K42" i="7"/>
  <c r="U42" i="7"/>
  <c r="K43" i="7"/>
  <c r="U43" i="7"/>
  <c r="U37" i="8"/>
  <c r="R44" i="8"/>
  <c r="U47" i="8"/>
  <c r="L28" i="7"/>
  <c r="V28" i="7"/>
  <c r="L29" i="7"/>
  <c r="V29" i="7"/>
  <c r="L33" i="7"/>
  <c r="V33" i="7"/>
  <c r="L34" i="7"/>
  <c r="V34" i="7"/>
  <c r="L38" i="7"/>
  <c r="V38" i="7"/>
  <c r="L39" i="7"/>
  <c r="V39" i="7"/>
  <c r="L43" i="7"/>
  <c r="V43" i="7"/>
  <c r="U36" i="8"/>
  <c r="U46" i="8"/>
  <c r="C28" i="7"/>
  <c r="M28" i="7"/>
  <c r="M33" i="7"/>
  <c r="C34" i="7"/>
  <c r="M34" i="7"/>
  <c r="C38" i="7"/>
  <c r="M38" i="7"/>
  <c r="C39" i="7"/>
  <c r="M39" i="7"/>
  <c r="C43" i="7"/>
  <c r="M43" i="7"/>
  <c r="U35" i="8"/>
  <c r="U45" i="8"/>
  <c r="C33" i="7"/>
  <c r="D25" i="7"/>
  <c r="N25" i="7"/>
  <c r="D28" i="7"/>
  <c r="N28" i="7"/>
  <c r="D29" i="7"/>
  <c r="N29" i="7"/>
  <c r="D33" i="7"/>
  <c r="N33" i="7"/>
  <c r="D34" i="7"/>
  <c r="N34" i="7"/>
  <c r="D35" i="7"/>
  <c r="N35" i="7"/>
  <c r="D38" i="7"/>
  <c r="N38" i="7"/>
  <c r="D39" i="7"/>
  <c r="N39" i="7"/>
  <c r="D40" i="7"/>
  <c r="N40" i="7"/>
  <c r="D41" i="7"/>
  <c r="N41" i="7"/>
  <c r="D43" i="7"/>
  <c r="N43" i="7"/>
  <c r="R51" i="8"/>
  <c r="E25" i="7"/>
  <c r="O25" i="7"/>
  <c r="E26" i="7"/>
  <c r="O26" i="7"/>
  <c r="E27" i="7"/>
  <c r="O27" i="7"/>
  <c r="E28" i="7"/>
  <c r="O28" i="7"/>
  <c r="E29" i="7"/>
  <c r="O29" i="7"/>
  <c r="E30" i="7"/>
  <c r="O30" i="7"/>
  <c r="E31" i="7"/>
  <c r="O31" i="7"/>
  <c r="E32" i="7"/>
  <c r="O32" i="7"/>
  <c r="E33" i="7"/>
  <c r="O33" i="7"/>
  <c r="E34" i="7"/>
  <c r="O34" i="7"/>
  <c r="E35" i="7"/>
  <c r="O35" i="7"/>
  <c r="E36" i="7"/>
  <c r="O36" i="7"/>
  <c r="E37" i="7"/>
  <c r="O37" i="7"/>
  <c r="E38" i="7"/>
  <c r="O38" i="7"/>
  <c r="E39" i="7"/>
  <c r="O39" i="7"/>
  <c r="E40" i="7"/>
  <c r="O40" i="7"/>
  <c r="E41" i="7"/>
  <c r="O41" i="7"/>
  <c r="E42" i="7"/>
  <c r="O42" i="7"/>
  <c r="E43" i="7"/>
  <c r="O43" i="7"/>
  <c r="T32" i="8"/>
  <c r="T53" i="8" s="1"/>
  <c r="U33" i="8"/>
  <c r="R40" i="8"/>
  <c r="S41" i="8"/>
  <c r="T42" i="8"/>
  <c r="U43" i="8"/>
  <c r="R50" i="8"/>
  <c r="S51" i="8"/>
  <c r="U34" i="8"/>
  <c r="R41" i="8"/>
  <c r="U44" i="8"/>
  <c r="F25" i="7"/>
  <c r="F26" i="7"/>
  <c r="F27" i="7"/>
  <c r="F28" i="7"/>
  <c r="F29" i="7"/>
  <c r="F30" i="7"/>
  <c r="F31" i="7"/>
  <c r="F32" i="7"/>
  <c r="F33" i="7"/>
  <c r="F34" i="7"/>
  <c r="F35" i="7"/>
  <c r="F36" i="7"/>
  <c r="F37" i="7"/>
  <c r="F38" i="7"/>
  <c r="F39" i="7"/>
  <c r="F40" i="7"/>
  <c r="F41" i="7"/>
  <c r="F42" i="7"/>
  <c r="F43" i="7"/>
  <c r="U32" i="8"/>
  <c r="R39" i="8"/>
  <c r="R53" i="8" s="1"/>
  <c r="S40" i="8"/>
  <c r="S53" i="8" s="1"/>
  <c r="T41" i="8"/>
  <c r="K23" i="6"/>
  <c r="K27" i="6"/>
  <c r="L23" i="6"/>
  <c r="R23" i="6" s="1"/>
  <c r="L27" i="6"/>
  <c r="R27" i="6" s="1"/>
  <c r="K22" i="6"/>
  <c r="L22" i="6"/>
  <c r="R22" i="6" s="1"/>
  <c r="K26" i="6"/>
  <c r="K21" i="6"/>
  <c r="L26" i="6"/>
  <c r="R26" i="6" s="1"/>
  <c r="K20" i="6"/>
  <c r="M21" i="6"/>
  <c r="K25" i="6"/>
  <c r="H4" i="1"/>
  <c r="M6" i="1"/>
  <c r="O6" i="1" s="1"/>
  <c r="M8" i="1"/>
  <c r="O8" i="1" s="1"/>
  <c r="M10" i="1"/>
  <c r="O10" i="1" s="1"/>
  <c r="M12" i="1"/>
  <c r="O12" i="1" s="1"/>
  <c r="M14" i="1"/>
  <c r="O14" i="1" s="1"/>
  <c r="M16" i="1"/>
  <c r="O16" i="1" s="1"/>
  <c r="M18" i="1"/>
  <c r="O18" i="1" s="1"/>
  <c r="M23" i="1"/>
  <c r="O23" i="1" s="1"/>
  <c r="M20" i="1"/>
  <c r="O20" i="1" s="1"/>
  <c r="M5" i="1"/>
  <c r="B22" i="5"/>
  <c r="X58" i="11" l="1"/>
  <c r="X83" i="11" s="1"/>
  <c r="Y35" i="11"/>
  <c r="Y58" i="11" s="1"/>
  <c r="Y83" i="11" s="1"/>
  <c r="Y50" i="11"/>
  <c r="Y73" i="11" s="1"/>
  <c r="Y98" i="11" s="1"/>
  <c r="W61" i="11"/>
  <c r="W86" i="11" s="1"/>
  <c r="X38" i="11"/>
  <c r="Z42" i="11"/>
  <c r="Z65" i="11" s="1"/>
  <c r="Z90" i="11" s="1"/>
  <c r="Y39" i="11"/>
  <c r="Y62" i="11" s="1"/>
  <c r="Y87" i="11" s="1"/>
  <c r="AA49" i="11"/>
  <c r="AA72" i="11" s="1"/>
  <c r="AA97" i="11" s="1"/>
  <c r="Y40" i="11"/>
  <c r="Y63" i="11" s="1"/>
  <c r="Y88" i="11" s="1"/>
  <c r="W55" i="11"/>
  <c r="W80" i="11" s="1"/>
  <c r="X32" i="11"/>
  <c r="X69" i="11"/>
  <c r="X94" i="11" s="1"/>
  <c r="Z43" i="11"/>
  <c r="Z66" i="11" s="1"/>
  <c r="Z91" i="11" s="1"/>
  <c r="W63" i="11"/>
  <c r="W88" i="11" s="1"/>
  <c r="AA35" i="11"/>
  <c r="AA58" i="11" s="1"/>
  <c r="AA83" i="11" s="1"/>
  <c r="V79" i="11"/>
  <c r="V75" i="11"/>
  <c r="Z50" i="11"/>
  <c r="Z73" i="11" s="1"/>
  <c r="Z98" i="11" s="1"/>
  <c r="X66" i="11"/>
  <c r="X91" i="11" s="1"/>
  <c r="W71" i="11"/>
  <c r="W96" i="11" s="1"/>
  <c r="X48" i="11"/>
  <c r="X71" i="11" s="1"/>
  <c r="X96" i="11" s="1"/>
  <c r="W59" i="11"/>
  <c r="W84" i="11" s="1"/>
  <c r="W56" i="11"/>
  <c r="W81" i="11" s="1"/>
  <c r="Z35" i="11"/>
  <c r="Z58" i="11" s="1"/>
  <c r="Z83" i="11" s="1"/>
  <c r="Y33" i="11"/>
  <c r="Z33" i="11" s="1"/>
  <c r="Z56" i="11" s="1"/>
  <c r="Z81" i="11" s="1"/>
  <c r="W54" i="11"/>
  <c r="X31" i="11"/>
  <c r="X54" i="11" s="1"/>
  <c r="Y36" i="11"/>
  <c r="Y59" i="11" s="1"/>
  <c r="Y84" i="11" s="1"/>
  <c r="AA45" i="11"/>
  <c r="AA68" i="11" s="1"/>
  <c r="AA93" i="11" s="1"/>
  <c r="W60" i="11"/>
  <c r="W85" i="11" s="1"/>
  <c r="W70" i="11"/>
  <c r="W95" i="11" s="1"/>
  <c r="X37" i="11"/>
  <c r="W67" i="11"/>
  <c r="W92" i="11" s="1"/>
  <c r="Z44" i="11"/>
  <c r="Z67" i="11" s="1"/>
  <c r="Z92" i="11" s="1"/>
  <c r="Z45" i="11"/>
  <c r="Z68" i="11" s="1"/>
  <c r="Z93" i="11" s="1"/>
  <c r="Y41" i="11"/>
  <c r="W64" i="11"/>
  <c r="W89" i="11" s="1"/>
  <c r="Y44" i="11"/>
  <c r="Y67" i="11" s="1"/>
  <c r="Y92" i="11" s="1"/>
  <c r="Y46" i="11"/>
  <c r="Y69" i="11" s="1"/>
  <c r="Y94" i="11" s="1"/>
  <c r="W57" i="11"/>
  <c r="W82" i="11" s="1"/>
  <c r="Y47" i="11"/>
  <c r="W73" i="11"/>
  <c r="W98" i="11" s="1"/>
  <c r="Y34" i="11"/>
  <c r="U53" i="8"/>
  <c r="M26" i="1"/>
  <c r="O5" i="1"/>
  <c r="Y38" i="11" l="1"/>
  <c r="Y61" i="11" s="1"/>
  <c r="Y86" i="11" s="1"/>
  <c r="X61" i="11"/>
  <c r="X86" i="11" s="1"/>
  <c r="Z38" i="11"/>
  <c r="Z61" i="11" s="1"/>
  <c r="Z86" i="11" s="1"/>
  <c r="AA38" i="11"/>
  <c r="AA61" i="11" s="1"/>
  <c r="AA86" i="11" s="1"/>
  <c r="Z40" i="11"/>
  <c r="Z63" i="11" s="1"/>
  <c r="Z88" i="11" s="1"/>
  <c r="AB49" i="11"/>
  <c r="AB72" i="11" s="1"/>
  <c r="AB97" i="11" s="1"/>
  <c r="Z36" i="11"/>
  <c r="AA43" i="11"/>
  <c r="AA66" i="11" s="1"/>
  <c r="AA91" i="11" s="1"/>
  <c r="Z39" i="11"/>
  <c r="AA42" i="11"/>
  <c r="AA65" i="11" s="1"/>
  <c r="AA90" i="11" s="1"/>
  <c r="X55" i="11"/>
  <c r="X80" i="11" s="1"/>
  <c r="Y32" i="11"/>
  <c r="AA44" i="11"/>
  <c r="AA67" i="11" s="1"/>
  <c r="AA92" i="11" s="1"/>
  <c r="AA40" i="11"/>
  <c r="AA63" i="11" s="1"/>
  <c r="AA88" i="11" s="1"/>
  <c r="Z46" i="11"/>
  <c r="Z69" i="11" s="1"/>
  <c r="Z94" i="11" s="1"/>
  <c r="X79" i="11"/>
  <c r="AB44" i="11"/>
  <c r="AB67" i="11" s="1"/>
  <c r="AB92" i="11" s="1"/>
  <c r="Y56" i="11"/>
  <c r="Y81" i="11" s="1"/>
  <c r="AA33" i="11"/>
  <c r="Y48" i="11"/>
  <c r="Y71" i="11" s="1"/>
  <c r="Y96" i="11" s="1"/>
  <c r="AB45" i="11"/>
  <c r="AB68" i="11" s="1"/>
  <c r="AB93" i="11" s="1"/>
  <c r="Y64" i="11"/>
  <c r="Y89" i="11" s="1"/>
  <c r="Z41" i="11"/>
  <c r="W79" i="11"/>
  <c r="W75" i="11"/>
  <c r="Y31" i="11"/>
  <c r="Y54" i="11" s="1"/>
  <c r="Y70" i="11"/>
  <c r="Y95" i="11" s="1"/>
  <c r="Z47" i="11"/>
  <c r="AA50" i="11"/>
  <c r="AA73" i="11" s="1"/>
  <c r="AA98" i="11" s="1"/>
  <c r="Y57" i="11"/>
  <c r="Y82" i="11" s="1"/>
  <c r="Z34" i="11"/>
  <c r="AA34" i="11"/>
  <c r="AA57" i="11" s="1"/>
  <c r="AA82" i="11" s="1"/>
  <c r="X60" i="11"/>
  <c r="X85" i="11" s="1"/>
  <c r="AB35" i="11"/>
  <c r="AB58" i="11" s="1"/>
  <c r="AB83" i="11" s="1"/>
  <c r="AB40" i="11"/>
  <c r="AB63" i="11" s="1"/>
  <c r="AB88" i="11" s="1"/>
  <c r="Y37" i="11"/>
  <c r="AB42" i="11"/>
  <c r="AB65" i="11" s="1"/>
  <c r="AB90" i="11" s="1"/>
  <c r="Z62" i="11" l="1"/>
  <c r="Z87" i="11" s="1"/>
  <c r="AA39" i="11"/>
  <c r="AA62" i="11" s="1"/>
  <c r="AA87" i="11" s="1"/>
  <c r="AB39" i="11"/>
  <c r="AB62" i="11" s="1"/>
  <c r="AB87" i="11" s="1"/>
  <c r="Z59" i="11"/>
  <c r="Z84" i="11" s="1"/>
  <c r="AA36" i="11"/>
  <c r="AA59" i="11" s="1"/>
  <c r="AA84" i="11" s="1"/>
  <c r="Z32" i="11"/>
  <c r="Z55" i="11" s="1"/>
  <c r="Z80" i="11" s="1"/>
  <c r="Y55" i="11"/>
  <c r="Y80" i="11" s="1"/>
  <c r="AB43" i="11"/>
  <c r="AB66" i="11" s="1"/>
  <c r="AB91" i="11" s="1"/>
  <c r="AB38" i="11"/>
  <c r="AB61" i="11" s="1"/>
  <c r="AB86" i="11" s="1"/>
  <c r="Y79" i="11"/>
  <c r="Z57" i="11"/>
  <c r="Z82" i="11" s="1"/>
  <c r="AB34" i="11"/>
  <c r="AB57" i="11" s="1"/>
  <c r="AB82" i="11" s="1"/>
  <c r="X75" i="11"/>
  <c r="Z31" i="11"/>
  <c r="Z54" i="11" s="1"/>
  <c r="Z64" i="11"/>
  <c r="Z89" i="11" s="1"/>
  <c r="AA41" i="11"/>
  <c r="AA64" i="11" s="1"/>
  <c r="AA89" i="11" s="1"/>
  <c r="AA56" i="11"/>
  <c r="AA81" i="11" s="1"/>
  <c r="AB33" i="11"/>
  <c r="AB56" i="11" s="1"/>
  <c r="AB81" i="11" s="1"/>
  <c r="Y60" i="11"/>
  <c r="Y85" i="11" s="1"/>
  <c r="Z37" i="11"/>
  <c r="Z60" i="11" s="1"/>
  <c r="Z85" i="11" s="1"/>
  <c r="AB50" i="11"/>
  <c r="AB73" i="11" s="1"/>
  <c r="AB98" i="11" s="1"/>
  <c r="Z48" i="11"/>
  <c r="AA46" i="11"/>
  <c r="AA69" i="11" s="1"/>
  <c r="AA94" i="11" s="1"/>
  <c r="Z70" i="11"/>
  <c r="Z95" i="11" s="1"/>
  <c r="AA47" i="11"/>
  <c r="AA70" i="11" s="1"/>
  <c r="AA95" i="11" s="1"/>
  <c r="AB41" i="11" l="1"/>
  <c r="AB64" i="11" s="1"/>
  <c r="AB89" i="11" s="1"/>
  <c r="AB36" i="11"/>
  <c r="AB59" i="11" s="1"/>
  <c r="AB84" i="11" s="1"/>
  <c r="AA32" i="11"/>
  <c r="AB46" i="11"/>
  <c r="AB69" i="11" s="1"/>
  <c r="AB94" i="11" s="1"/>
  <c r="AB47" i="11"/>
  <c r="AB70" i="11" s="1"/>
  <c r="AB95" i="11" s="1"/>
  <c r="Z71" i="11"/>
  <c r="Z96" i="11" s="1"/>
  <c r="AA48" i="11"/>
  <c r="AA71" i="11" s="1"/>
  <c r="AA96" i="11" s="1"/>
  <c r="Z75" i="11"/>
  <c r="Z79" i="11"/>
  <c r="AB48" i="11"/>
  <c r="AB71" i="11" s="1"/>
  <c r="AB96" i="11" s="1"/>
  <c r="Y75" i="11"/>
  <c r="AA31" i="11"/>
  <c r="AA37" i="11"/>
  <c r="AA60" i="11" s="1"/>
  <c r="AA85" i="11" s="1"/>
  <c r="AA55" i="11" l="1"/>
  <c r="AA80" i="11" s="1"/>
  <c r="AB32" i="11"/>
  <c r="AB55" i="11" s="1"/>
  <c r="AB80" i="11" s="1"/>
  <c r="AB37" i="11"/>
  <c r="AB60" i="11" s="1"/>
  <c r="AB85" i="11" s="1"/>
  <c r="AA54" i="11"/>
  <c r="AB31" i="11"/>
  <c r="AB54" i="11" s="1"/>
  <c r="AB75" i="11" l="1"/>
  <c r="AB79" i="11"/>
  <c r="AA75" i="11"/>
  <c r="AA79"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Daniel Macnulty</author>
  </authors>
  <commentList>
    <comment ref="D4" authorId="0" shapeId="0" xr:uid="{2F937FAA-400B-3D4F-AB44-C2FC11DD1FD4}">
      <text>
        <r>
          <rPr>
            <b/>
            <sz val="9"/>
            <color rgb="FF000000"/>
            <rFont val="Tahoma"/>
            <family val="2"/>
          </rPr>
          <t>Daniel Macnulty:</t>
        </r>
        <r>
          <rPr>
            <sz val="9"/>
            <color rgb="FF000000"/>
            <rFont val="Tahoma"/>
            <family val="2"/>
          </rPr>
          <t xml:space="preserve">
</t>
        </r>
        <r>
          <rPr>
            <sz val="9"/>
            <color rgb="FF000000"/>
            <rFont val="Tahoma"/>
            <family val="2"/>
          </rPr>
          <t>known-sex fetuses</t>
        </r>
      </text>
    </comment>
    <comment ref="B28" authorId="0" shapeId="0" xr:uid="{6460057D-A31B-2341-9398-51BF4FB73011}">
      <text>
        <r>
          <rPr>
            <b/>
            <sz val="9"/>
            <color rgb="FF000000"/>
            <rFont val="Tahoma"/>
            <family val="2"/>
          </rPr>
          <t>Daniel Macnulty:</t>
        </r>
        <r>
          <rPr>
            <sz val="9"/>
            <color rgb="FF000000"/>
            <rFont val="Tahoma"/>
            <family val="2"/>
          </rPr>
          <t xml:space="preserve">
</t>
        </r>
        <r>
          <rPr>
            <sz val="9"/>
            <color rgb="FF000000"/>
            <rFont val="Tahoma"/>
            <family val="2"/>
          </rPr>
          <t>known-sex fetuses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tc={ED32B631-2EB8-DB43-8875-4551275AB69C}</author>
  </authors>
  <commentList>
    <comment ref="N1" authorId="0" shapeId="0" xr:uid="{ED32B631-2EB8-DB43-8875-4551275AB69C}">
      <text>
        <t>[Threaded comment]
Your version of Excel allows you to read this threaded comment; however, any edits to it will get removed if the file is opened in a newer version of Excel. Learn more: https://go.microsoft.com/fwlink/?linkid=870924
Comment:
    The data that does into the simulation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tc={B548C1A9-AA5A-3646-B40B-4EF6D4D68519}</author>
    <author>tc={B7F07399-0726-ED4D-BAA2-A62C0A299CD5}</author>
    <author>tc={972E197F-E7F1-1641-BE8B-8D60DF8CC15F}</author>
    <author>Daniel Macnulty</author>
  </authors>
  <commentList>
    <comment ref="D3" authorId="0" shapeId="0" xr:uid="{B548C1A9-AA5A-3646-B40B-4EF6D4D68519}">
      <text>
        <t>[Threaded comment]
Your version of Excel allows you to read this threaded comment; however, any edits to it will get removed if the file is opened in a newer version of Excel. Learn more: https://go.microsoft.com/fwlink/?linkid=870924
Comment:
    From spring classification data</t>
      </text>
    </comment>
    <comment ref="H3" authorId="1" shapeId="0" xr:uid="{B7F07399-0726-ED4D-BAA2-A62C0A299CD5}">
      <text>
        <t>[Threaded comment]
Your version of Excel allows you to read this threaded comment; however, any edits to it will get removed if the file is opened in a newer version of Excel. Learn more: https://go.microsoft.com/fwlink/?linkid=870924
Comment:
    Annual observed cow numbers</t>
      </text>
    </comment>
    <comment ref="K3" authorId="2" shapeId="0" xr:uid="{972E197F-E7F1-1641-BE8B-8D60DF8CC15F}">
      <text>
        <t>[Threaded comment]
Your version of Excel allows you to read this threaded comment; however, any edits to it will get removed if the file is opened in a newer version of Excel. Learn more: https://go.microsoft.com/fwlink/?linkid=870924
Comment:
    Age distribution of starting population</t>
      </text>
    </comment>
    <comment ref="A28" authorId="3" shapeId="0" xr:uid="{854F0B00-3FD1-0143-B3F6-22B48554F733}">
      <text>
        <r>
          <rPr>
            <sz val="9"/>
            <color rgb="FF000000"/>
            <rFont val="Tahoma"/>
            <family val="2"/>
          </rPr>
          <t>Counts are from MFWP helicopter classification survey corrected by the % of GPS-collared females detected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tc={D235A2B6-3D87-834F-A2BF-E726C81D8864}</author>
    <author>Daniel Macnulty</author>
  </authors>
  <commentList>
    <comment ref="A1" authorId="0" shapeId="0" xr:uid="{D235A2B6-3D87-834F-A2BF-E726C81D8864}">
      <text>
        <t>[Threaded comment]
Your version of Excel allows you to read this threaded comment; however, any edits to it will get removed if the file is opened in a newer version of Excel. Learn more: https://go.microsoft.com/fwlink/?linkid=870924
Comment:
    Data updated by Sarah Hoy in Sep 2021, now includes 2010-2013</t>
      </text>
    </comment>
    <comment ref="C23" authorId="1" shapeId="0" xr:uid="{920FF9C5-C2A6-B24D-A4CB-6665C4382CE7}">
      <text>
        <r>
          <rPr>
            <b/>
            <sz val="9"/>
            <color rgb="FF000000"/>
            <rFont val="Tahoma"/>
            <family val="2"/>
          </rPr>
          <t>Daniel Macnulty:</t>
        </r>
        <r>
          <rPr>
            <sz val="9"/>
            <color rgb="FF000000"/>
            <rFont val="Tahoma"/>
            <family val="2"/>
          </rPr>
          <t xml:space="preserve">
</t>
        </r>
        <r>
          <rPr>
            <sz val="9"/>
            <color rgb="FF000000"/>
            <rFont val="Tahoma"/>
            <family val="2"/>
          </rPr>
          <t>Should the age frequency data include calves?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tc={9E956707-6B22-734F-85B8-B71DAC2399A0}</author>
    <author>tc={BF38B1DC-46E0-924B-8ABF-705F008C8AB1}</author>
    <author>tc={803E1959-D1F1-4B4C-9A7B-63E125569505}</author>
    <author>tc={F8DB0A8E-BF8F-8E4F-9F9E-0BF2D84AEC46}</author>
  </authors>
  <commentList>
    <comment ref="R2" authorId="0" shapeId="0" xr:uid="{9E956707-6B22-734F-85B8-B71DAC2399A0}">
      <text>
        <t>[Threaded comment]
Your version of Excel allows you to read this threaded comment; however, any edits to it will get removed if the file is opened in a newer version of Excel. Learn more: https://go.microsoft.com/fwlink/?linkid=870924
Comment:
    Don’t have countunit calf-cow counts for 2010-2011 (only ground counts)</t>
      </text>
    </comment>
    <comment ref="B4" authorId="1" shapeId="0" xr:uid="{BF38B1DC-46E0-924B-8ABF-705F008C8AB1}">
      <text>
        <t>[Threaded comment]
Your version of Excel allows you to read this threaded comment; however, any edits to it will get removed if the file is opened in a newer version of Excel. Learn more: https://go.microsoft.com/fwlink/?linkid=870924
Comment:
    Don’t have FSR after 2009. Using mean FSR for 2012 and 2013 right now, since we have counts for those years</t>
      </text>
    </comment>
    <comment ref="C6" authorId="2" shapeId="0" xr:uid="{803E1959-D1F1-4B4C-9A7B-63E125569505}">
      <text>
        <t>[Threaded comment]
Your version of Excel allows you to read this threaded comment; however, any edits to it will get removed if the file is opened in a newer version of Excel. Learn more: https://go.microsoft.com/fwlink/?linkid=870924
Comment:
    Data from Hoy et al. 2020, correct as of Sep 2021</t>
      </text>
    </comment>
    <comment ref="V6" authorId="3" shapeId="0" xr:uid="{F8DB0A8E-BF8F-8E4F-9F9E-0BF2D84AEC46}">
      <text>
        <t>[Threaded comment]
Your version of Excel allows you to read this threaded comment; however, any edits to it will get removed if the file is opened in a newer version of Excel. Learn more: https://go.microsoft.com/fwlink/?linkid=870924
Comment:
    From GAM of pregnancy ~ age with year as a random effect, run on Aug 16th, 2021.
Yearling pregnancy is the mean from 1991-2008 GLH reports (Proffitt et al. 2014 estimate 8%)</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tc={32FB1D63-87ED-6642-AF36-A5F5929FF130}</author>
    <author>tc={D14AEE44-F3E1-9A4E-8071-340B39202743}</author>
    <author>tc={D38B1BA3-F64B-9842-9076-E53A965744B6}</author>
    <author>tc={9DCE73E4-AB39-F84C-BB84-097935529599}</author>
  </authors>
  <commentList>
    <comment ref="C2" authorId="0" shapeId="0" xr:uid="{32FB1D63-87ED-6642-AF36-A5F5929FF130}">
      <text>
        <t>[Threaded comment]
Your version of Excel allows you to read this threaded comment; however, any edits to it will get removed if the file is opened in a newer version of Excel. Learn more: https://go.microsoft.com/fwlink/?linkid=870924
Comment:
    Includes all cows harvested in GLH and general hunt, as well as illegal harvest. For 2014-2021, had counts of “antlerless” rather than cows. To estimate the number of cows, used the mean % of antlerless of the cows in previous years</t>
      </text>
    </comment>
    <comment ref="V30" authorId="1" shapeId="0" xr:uid="{D14AEE44-F3E1-9A4E-8071-340B39202743}">
      <text>
        <t>[Threaded comment]
Your version of Excel allows you to read this threaded comment; however, any edits to it will get removed if the file is opened in a newer version of Excel. Learn more: https://go.microsoft.com/fwlink/?linkid=870924
Comment:
    Don’t have age distribution after 2013, so using mean from last 5 years
Reply:
    Rolling for all the missing years</t>
      </text>
    </comment>
    <comment ref="V53" authorId="2" shapeId="0" xr:uid="{D38B1BA3-F64B-9842-9076-E53A965744B6}">
      <text>
        <t>[Threaded comment]
Your version of Excel allows you to read this threaded comment; however, any edits to it will get removed if the file is opened in a newer version of Excel. Learn more: https://go.microsoft.com/fwlink/?linkid=870924
Comment:
    Don’t have age distribution after 2013, so using mean from last 5 years
Reply:
    Rolling for all the missing years</t>
      </text>
    </comment>
    <comment ref="V78" authorId="3" shapeId="0" xr:uid="{9DCE73E4-AB39-F84C-BB84-097935529599}">
      <text>
        <t>[Threaded comment]
Your version of Excel allows you to read this threaded comment; however, any edits to it will get removed if the file is opened in a newer version of Excel. Learn more: https://go.microsoft.com/fwlink/?linkid=870924
Comment:
    Don’t have age distribution after 2013, so using mean from last 5 years
Reply:
    Rolling for all the missing years</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tc={02C76B62-B6A4-F042-AD7F-517E81BD0BB2}</author>
  </authors>
  <commentList>
    <comment ref="N37" authorId="0" shapeId="0" xr:uid="{02C76B62-B6A4-F042-AD7F-517E81BD0BB2}">
      <text>
        <t>[Threaded comment]
Your version of Excel allows you to read this threaded comment; however, any edits to it will get removed if the file is opened in a newer version of Excel. Learn more: https://go.microsoft.com/fwlink/?linkid=870924
Comment:
    From eyeballing figure 2d</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tc={E1D104AB-6A73-D846-9CF3-E2046EC9543F}</author>
    <author>tc={3662ADDE-EED2-B14C-AAF7-7AF0D8DC453E}</author>
    <author>tc={CECCE3C0-376E-884D-8A59-89647131FFBC}</author>
    <author>tc={446D07D8-5EFB-CB4C-BA6B-536EB80A172D}</author>
  </authors>
  <commentList>
    <comment ref="D2" authorId="0" shapeId="0" xr:uid="{E1D104AB-6A73-D846-9CF3-E2046EC9543F}">
      <text>
        <t>[Threaded comment]
Your version of Excel allows you to read this threaded comment; however, any edits to it will get removed if the file is opened in a newer version of Excel. Learn more: https://go.microsoft.com/fwlink/?linkid=870924
Comment:
    Total post-hunt population, updated with Brian Smith’s data (2023-2024)
Reply:
    First year has been replaced with sum of cows from 1995 hunted age distribution</t>
      </text>
    </comment>
    <comment ref="E2" authorId="1" shapeId="0" xr:uid="{3662ADDE-EED2-B14C-AAF7-7AF0D8DC453E}">
      <text>
        <t>[Threaded comment]
Your version of Excel allows you to read this threaded comment; however, any edits to it will get removed if the file is opened in a newer version of Excel. Learn more: https://go.microsoft.com/fwlink/?linkid=870924
Comment:
    Values for 2014-2019 are generated from a beta distribution based on the mean and sd of 1995-2013</t>
      </text>
    </comment>
    <comment ref="F2" authorId="2" shapeId="0" xr:uid="{CECCE3C0-376E-884D-8A59-89647131FFBC}">
      <text>
        <t>[Threaded comment]
Your version of Excel allows you to read this threaded comment; however, any edits to it will get removed if the file is opened in a newer version of Excel. Learn more: https://go.microsoft.com/fwlink/?linkid=870924
Comment:
    N.cows times female births per cow</t>
      </text>
    </comment>
    <comment ref="G2" authorId="3" shapeId="0" xr:uid="{446D07D8-5EFB-CB4C-BA6B-536EB80A172D}">
      <text>
        <t>[Threaded comment]
Your version of Excel allows you to read this threaded comment; however, any edits to it will get removed if the file is opened in a newer version of Excel. Learn more: https://go.microsoft.com/fwlink/?linkid=870924
Comment:
    Based on correction factor for 2007 and beyond</t>
      </text>
    </comment>
  </commentList>
</comments>
</file>

<file path=xl/sharedStrings.xml><?xml version="1.0" encoding="utf-8"?>
<sst xmlns="http://schemas.openxmlformats.org/spreadsheetml/2006/main" count="383" uniqueCount="235">
  <si>
    <t>Parameter</t>
  </si>
  <si>
    <t xml:space="preserve">Years with available data </t>
  </si>
  <si>
    <t>Years used</t>
  </si>
  <si>
    <t>Source</t>
  </si>
  <si>
    <t>Method</t>
  </si>
  <si>
    <t>Pregnancy (age 3-20)</t>
  </si>
  <si>
    <t>2000-2003, 2005, 2006, 2011-2020</t>
  </si>
  <si>
    <t>YNP</t>
  </si>
  <si>
    <t>pregnancy-specific protein B assay on live elk</t>
  </si>
  <si>
    <t>Pregnancy (age 2)</t>
  </si>
  <si>
    <t>1991-1993, 1995, 1997-2008</t>
  </si>
  <si>
    <t>1995, 1997-2008</t>
  </si>
  <si>
    <t>Gardiner Late Hunt Reports, Montana FWP</t>
  </si>
  <si>
    <t>Hunter-reported pregnancy status of harvested females</t>
  </si>
  <si>
    <t>Fetal sex ratio</t>
  </si>
  <si>
    <t>1991-1993, 1995-2009</t>
  </si>
  <si>
    <t>1995-2009</t>
  </si>
  <si>
    <t>Hunter-reported fetal sex of pregnant harvested females</t>
  </si>
  <si>
    <t>Calf survival</t>
  </si>
  <si>
    <t>1995, 1998-2009, and 2012-2013</t>
  </si>
  <si>
    <t>Montana FWP, YNP</t>
  </si>
  <si>
    <t>March helicopter classification surveys</t>
  </si>
  <si>
    <t>Adult survival</t>
  </si>
  <si>
    <t>2000-2006, 2011-2017</t>
  </si>
  <si>
    <t>Survival/mortality determined for collared elk</t>
  </si>
  <si>
    <t>1996-2009</t>
  </si>
  <si>
    <t>Montana FWP</t>
  </si>
  <si>
    <t xml:space="preserve">determined age of harvested elk  </t>
  </si>
  <si>
    <t>Wolf-caused mortality</t>
  </si>
  <si>
    <t>1997-2019</t>
  </si>
  <si>
    <t>Surveys of kills at wolf location clusters</t>
  </si>
  <si>
    <t>Hunter harvest</t>
  </si>
  <si>
    <t>1969-2021</t>
  </si>
  <si>
    <t>1995-2020</t>
  </si>
  <si>
    <t>Montana FWP*</t>
  </si>
  <si>
    <t>Number of kills recorded by Montana FWP. Age-specific counts from 1995-2009</t>
  </si>
  <si>
    <t>Note that this is from more than just the lte hunt</t>
  </si>
  <si>
    <t>Female age structure</t>
  </si>
  <si>
    <t>1995-2013</t>
  </si>
  <si>
    <t>Hoy et al. 2020</t>
  </si>
  <si>
    <t>estimate annual age structure from dead-recovery data of hunter-harvested elk between 1996-2009, and elk that died of natural causes and were detected during ground and aerial surveys between 1995-2015</t>
  </si>
  <si>
    <t>Process Variance</t>
  </si>
  <si>
    <t>Wolf-caused calf haz</t>
  </si>
  <si>
    <t>Other calf haz</t>
  </si>
  <si>
    <t>wolf-caused adult haz, &lt;14</t>
  </si>
  <si>
    <t>other adult haz, &lt;14</t>
  </si>
  <si>
    <t>wolf-caused adult haz, &gt;14</t>
  </si>
  <si>
    <t>other adult haz, &gt;14</t>
  </si>
  <si>
    <t>FSR</t>
  </si>
  <si>
    <t>Pregnancy</t>
  </si>
  <si>
    <t>Data source: Gardinar Late Hunt reports</t>
  </si>
  <si>
    <t>From Kendall's Method for partitioning environmental variance</t>
  </si>
  <si>
    <t xml:space="preserve">Year </t>
  </si>
  <si>
    <t>males</t>
  </si>
  <si>
    <t>female</t>
  </si>
  <si>
    <t>N</t>
  </si>
  <si>
    <t>N.female</t>
  </si>
  <si>
    <t>SD</t>
  </si>
  <si>
    <t>Raw Mean</t>
  </si>
  <si>
    <t xml:space="preserve"> </t>
  </si>
  <si>
    <t>Raw Variance</t>
  </si>
  <si>
    <t>Estimate</t>
  </si>
  <si>
    <t>Lower CI</t>
  </si>
  <si>
    <t>Upper CI</t>
  </si>
  <si>
    <t>MLE Mean</t>
  </si>
  <si>
    <t>MLE Var</t>
  </si>
  <si>
    <t>Corrected var</t>
  </si>
  <si>
    <t>total fetuses</t>
  </si>
  <si>
    <t>total years</t>
  </si>
  <si>
    <t>average</t>
  </si>
  <si>
    <t>With 1991-1993</t>
  </si>
  <si>
    <t>stdev</t>
  </si>
  <si>
    <t>SE</t>
  </si>
  <si>
    <t>Extra GLHs</t>
  </si>
  <si>
    <t>Year</t>
  </si>
  <si>
    <t>Yearling Pregnancy</t>
  </si>
  <si>
    <t>Pregnancy: Age 2-20</t>
  </si>
  <si>
    <t>Pregnancy: All Ages</t>
  </si>
  <si>
    <t>N.Cows</t>
  </si>
  <si>
    <t>N.Pregnant</t>
  </si>
  <si>
    <t>Preg.Rate</t>
  </si>
  <si>
    <t>Var</t>
  </si>
  <si>
    <t>Mean</t>
  </si>
  <si>
    <t>Age</t>
  </si>
  <si>
    <t>P.mu</t>
  </si>
  <si>
    <t>conf.low</t>
  </si>
  <si>
    <t>conf.high</t>
  </si>
  <si>
    <t>Age2</t>
  </si>
  <si>
    <t>EnvVar</t>
  </si>
  <si>
    <t>95% CI for Yearling Pregnancy</t>
  </si>
  <si>
    <t>Env. Var</t>
  </si>
  <si>
    <t>Lower</t>
  </si>
  <si>
    <t>Upper</t>
  </si>
  <si>
    <t>LOWER</t>
  </si>
  <si>
    <t>UPPER</t>
  </si>
  <si>
    <t>Annual Environmental Variance</t>
  </si>
  <si>
    <t>EstVar</t>
  </si>
  <si>
    <t>Adult mortality/hazards</t>
  </si>
  <si>
    <t>Mean estimate</t>
  </si>
  <si>
    <t>Upper estimate</t>
  </si>
  <si>
    <t>Lower estimate</t>
  </si>
  <si>
    <t>NA replaced with 0</t>
  </si>
  <si>
    <t>NA removed</t>
  </si>
  <si>
    <t>Calf mortality</t>
  </si>
  <si>
    <t>Wolf hazard</t>
  </si>
  <si>
    <t>Other hazard</t>
  </si>
  <si>
    <t>ESTIMATES FROM B. SMITH, NEW AS OF NOV 2023</t>
  </si>
  <si>
    <t>Winter</t>
  </si>
  <si>
    <t>Corrected Total Elk</t>
  </si>
  <si>
    <t>% adult female</t>
  </si>
  <si>
    <t>Corrected Total Female</t>
  </si>
  <si>
    <t>Total Harvest</t>
  </si>
  <si>
    <t>Post_hunt_Cows</t>
  </si>
  <si>
    <t>1995 Starting Population</t>
  </si>
  <si>
    <t>1994-1995</t>
  </si>
  <si>
    <t>Age dist</t>
  </si>
  <si>
    <t>N.cows.prehunt</t>
  </si>
  <si>
    <t>N.harvested</t>
  </si>
  <si>
    <t>N.cows.posthunt</t>
  </si>
  <si>
    <t>1995-1996</t>
  </si>
  <si>
    <t>1996-1997</t>
  </si>
  <si>
    <t>1997-1998</t>
  </si>
  <si>
    <t>1998-1999</t>
  </si>
  <si>
    <t>1999-2000</t>
  </si>
  <si>
    <t>2000-2001</t>
  </si>
  <si>
    <t>2001-2002</t>
  </si>
  <si>
    <t>2002-2003</t>
  </si>
  <si>
    <t>2003-2004</t>
  </si>
  <si>
    <t>2004-2005</t>
  </si>
  <si>
    <t>2005-2006</t>
  </si>
  <si>
    <t>2006-2007</t>
  </si>
  <si>
    <t>2007-2008</t>
  </si>
  <si>
    <t>2008-2009</t>
  </si>
  <si>
    <t>2009-2010</t>
  </si>
  <si>
    <t>2010-2011</t>
  </si>
  <si>
    <t>2011-2012</t>
  </si>
  <si>
    <t>2012-2013</t>
  </si>
  <si>
    <t>2013-2014</t>
  </si>
  <si>
    <t>2014-2015</t>
  </si>
  <si>
    <t>2015-2016</t>
  </si>
  <si>
    <t>2016-2017</t>
  </si>
  <si>
    <t>Total</t>
  </si>
  <si>
    <t>2017-2018</t>
  </si>
  <si>
    <t>2018-2019</t>
  </si>
  <si>
    <t>2019-2020</t>
  </si>
  <si>
    <t xml:space="preserve">Assumed survey timing </t>
  </si>
  <si>
    <t>Year, t</t>
  </si>
  <si>
    <t>Corrected Park</t>
  </si>
  <si>
    <t>Corrected HD313</t>
  </si>
  <si>
    <t>Proportion Inside</t>
  </si>
  <si>
    <t>% cows leaving park after count</t>
  </si>
  <si>
    <t>% Female</t>
  </si>
  <si>
    <t>Total Females</t>
  </si>
  <si>
    <t>Females in Park</t>
  </si>
  <si>
    <t>Females outside park</t>
  </si>
  <si>
    <t>In park</t>
  </si>
  <si>
    <t>Outside</t>
  </si>
  <si>
    <t>etc.</t>
  </si>
  <si>
    <t>Minimum Number Alive</t>
  </si>
  <si>
    <t>age</t>
  </si>
  <si>
    <t>20+</t>
  </si>
  <si>
    <t>Total MNA</t>
  </si>
  <si>
    <r>
      <t>Adult (</t>
    </r>
    <r>
      <rPr>
        <sz val="11"/>
        <color theme="1"/>
        <rFont val="Calibri"/>
        <family val="2"/>
      </rPr>
      <t xml:space="preserve">≥ 1 yr-old) </t>
    </r>
    <r>
      <rPr>
        <sz val="12"/>
        <color theme="1"/>
        <rFont val="Aptos Narrow"/>
        <family val="2"/>
        <scheme val="minor"/>
      </rPr>
      <t>Age Frequencies</t>
    </r>
  </si>
  <si>
    <t>year</t>
  </si>
  <si>
    <t>observed calf:cow</t>
  </si>
  <si>
    <t xml:space="preserve">fetal sex ratio </t>
  </si>
  <si>
    <t>annual female age frequency (based on population reconstruction; estimates only available for 1995-2013)</t>
  </si>
  <si>
    <t>mean pregnancy</t>
  </si>
  <si>
    <t>annual age-specific per capita number of female calves born</t>
  </si>
  <si>
    <t># female births per cow</t>
  </si>
  <si>
    <t>FemBirths</t>
  </si>
  <si>
    <t>Survival</t>
  </si>
  <si>
    <t>Wolf_Mort</t>
  </si>
  <si>
    <t>Other_Mort</t>
  </si>
  <si>
    <t>Wolf_Haz</t>
  </si>
  <si>
    <t>Other_Haz</t>
  </si>
  <si>
    <t>Wolf_SE</t>
  </si>
  <si>
    <t>Other_SE</t>
  </si>
  <si>
    <t>Surv.Low</t>
  </si>
  <si>
    <t>Surv.Hi</t>
  </si>
  <si>
    <t>Wolf_Mort.Low</t>
  </si>
  <si>
    <t>Wolf_Mort.Hi</t>
  </si>
  <si>
    <t>Other_Mort.Low</t>
  </si>
  <si>
    <t>Other_Mort.Hi</t>
  </si>
  <si>
    <t>Confidence estimates</t>
  </si>
  <si>
    <t>Cow_category</t>
  </si>
  <si>
    <t>Cow age</t>
  </si>
  <si>
    <t>Wolf.mort</t>
  </si>
  <si>
    <t>Wolf.se</t>
  </si>
  <si>
    <t>Other.mort</t>
  </si>
  <si>
    <t>Other.se</t>
  </si>
  <si>
    <t>Survival.se</t>
  </si>
  <si>
    <t>Prime</t>
  </si>
  <si>
    <t>&lt;14</t>
  </si>
  <si>
    <t>Old</t>
  </si>
  <si>
    <t>&gt;14</t>
  </si>
  <si>
    <t>Annual estimates for process variance</t>
  </si>
  <si>
    <t>Total Harvested Cows</t>
  </si>
  <si>
    <t>Estimated from antlerless elk counts</t>
  </si>
  <si>
    <t>Cow age Distribution</t>
  </si>
  <si>
    <t>PREHUNT COWS</t>
  </si>
  <si>
    <t>AGE</t>
  </si>
  <si>
    <t>N Cow Distribution</t>
  </si>
  <si>
    <t>N total</t>
  </si>
  <si>
    <t>HARVEST RATE</t>
  </si>
  <si>
    <t>AVERAGES ACROSS COUNT UNITS</t>
  </si>
  <si>
    <t>ModelYear</t>
  </si>
  <si>
    <t>P0</t>
  </si>
  <si>
    <t>SWE</t>
  </si>
  <si>
    <t>SWE_sc</t>
  </si>
  <si>
    <t>Precip</t>
  </si>
  <si>
    <t>Precip_sc</t>
  </si>
  <si>
    <t>ENVIRONMENTAL VARIANCE (White method)</t>
  </si>
  <si>
    <t>Min</t>
  </si>
  <si>
    <t>Max</t>
  </si>
  <si>
    <t>Median</t>
  </si>
  <si>
    <t>Barber-Meyer Comparisons</t>
  </si>
  <si>
    <t>2003-2005</t>
  </si>
  <si>
    <t>Ours</t>
  </si>
  <si>
    <t>Proffitt</t>
  </si>
  <si>
    <t>Recruitment</t>
  </si>
  <si>
    <t>Mine</t>
  </si>
  <si>
    <t>Her average</t>
  </si>
  <si>
    <t>My average</t>
  </si>
  <si>
    <t>S.mu</t>
  </si>
  <si>
    <t>N.cows</t>
  </si>
  <si>
    <t>FemBirthPerCow</t>
  </si>
  <si>
    <t>N.calf.female</t>
  </si>
  <si>
    <t>N.kills.all</t>
  </si>
  <si>
    <t>N.kills.fem</t>
  </si>
  <si>
    <t>Wolf.haz</t>
  </si>
  <si>
    <t>Other.haz</t>
  </si>
  <si>
    <t>WHITE'S PROCESS VARIANCE</t>
  </si>
  <si>
    <t>14-17% of deaths</t>
  </si>
  <si>
    <t>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</si>
</sst>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0"/>
    <numFmt numFmtId="165" formatCode="0.00000"/>
    <numFmt numFmtId="166" formatCode="0.000"/>
    <numFmt numFmtId="167" formatCode="0.000000"/>
    <numFmt numFmtId="168" formatCode="0.0000000"/>
    <numFmt numFmtId="169" formatCode="0.0"/>
  </numFmts>
  <fonts count="19" x14ac:knownFonts="1">
    <font>
      <sz val="12"/>
      <color theme="1"/>
      <name val="Aptos Narrow"/>
      <family val="2"/>
      <scheme val="minor"/>
    </font>
    <font>
      <sz val="12"/>
      <color theme="1"/>
      <name val="Aptos Narrow"/>
      <family val="2"/>
      <scheme val="minor"/>
    </font>
    <font>
      <b/>
      <sz val="12"/>
      <color theme="1"/>
      <name val="Aptos Narrow"/>
      <family val="2"/>
      <scheme val="minor"/>
    </font>
    <font>
      <sz val="11"/>
      <color theme="1"/>
      <name val="Lucida Grande"/>
      <family val="2"/>
    </font>
    <font>
      <b/>
      <sz val="9"/>
      <color rgb="FF000000"/>
      <name val="Tahoma"/>
      <family val="2"/>
    </font>
    <font>
      <sz val="9"/>
      <color rgb="FF000000"/>
      <name val="Tahoma"/>
      <family val="2"/>
    </font>
    <font>
      <b/>
      <sz val="12"/>
      <color rgb="FF000000"/>
      <name val="Aptos Narrow"/>
      <family val="2"/>
      <scheme val="minor"/>
    </font>
    <font>
      <b/>
      <sz val="11"/>
      <color rgb="FF000000"/>
      <name val="Lucida Grande"/>
      <family val="2"/>
    </font>
    <font>
      <sz val="12"/>
      <color rgb="FF000000"/>
      <name val="Aptos Narrow"/>
      <family val="2"/>
      <scheme val="minor"/>
    </font>
    <font>
      <sz val="11"/>
      <color rgb="FF000000"/>
      <name val="Lucida Grande"/>
      <family val="2"/>
    </font>
    <font>
      <sz val="10"/>
      <color indexed="8"/>
      <name val="Arial"/>
      <family val="2"/>
    </font>
    <font>
      <sz val="11"/>
      <color indexed="8"/>
      <name val="Calibri"/>
      <family val="2"/>
    </font>
    <font>
      <b/>
      <sz val="11"/>
      <color rgb="FF0000FF"/>
      <name val="Aptos Narrow"/>
      <family val="2"/>
      <scheme val="minor"/>
    </font>
    <font>
      <sz val="11"/>
      <color theme="1"/>
      <name val="Calibri"/>
      <family val="2"/>
    </font>
    <font>
      <sz val="11"/>
      <color rgb="FF000000"/>
      <name val="Aptos Narrow"/>
      <family val="2"/>
      <scheme val="minor"/>
    </font>
    <font>
      <sz val="11"/>
      <color theme="1"/>
      <name val="Aptos Narrow"/>
      <family val="2"/>
      <scheme val="minor"/>
    </font>
    <font>
      <b/>
      <sz val="12"/>
      <color theme="1"/>
      <name val="Aptos Narrow"/>
      <scheme val="minor"/>
    </font>
    <font>
      <sz val="12"/>
      <color theme="1"/>
      <name val="Aptos Narrow"/>
      <scheme val="minor"/>
    </font>
    <font>
      <b/>
      <sz val="12"/>
      <color rgb="FF000000"/>
      <name val="Aptos Narrow"/>
      <scheme val="minor"/>
    </font>
  </fonts>
  <fills count="12">
    <fill>
      <patternFill patternType="none"/>
    </fill>
    <fill>
      <patternFill patternType="gray125"/>
    </fill>
    <fill>
      <patternFill patternType="solid">
        <fgColor rgb="FFBAEFE5"/>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rgb="FFFFFF00"/>
        <bgColor indexed="64"/>
      </patternFill>
    </fill>
    <fill>
      <patternFill patternType="solid">
        <fgColor theme="2"/>
        <bgColor indexed="64"/>
      </patternFill>
    </fill>
    <fill>
      <patternFill patternType="solid">
        <fgColor rgb="FFBAEFE4"/>
        <bgColor indexed="64"/>
      </patternFill>
    </fill>
    <fill>
      <patternFill patternType="solid">
        <fgColor theme="4" tint="0.79998168889431442"/>
        <bgColor indexed="64"/>
      </patternFill>
    </fill>
    <fill>
      <patternFill patternType="solid">
        <fgColor theme="5" tint="0.79998168889431442"/>
        <bgColor indexed="64"/>
      </patternFill>
    </fill>
  </fills>
  <borders count="1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22"/>
      </left>
      <right style="thin">
        <color indexed="22"/>
      </right>
      <top style="thin">
        <color indexed="22"/>
      </top>
      <bottom style="thin">
        <color indexed="2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3">
    <xf numFmtId="0" fontId="0" fillId="0" borderId="0"/>
    <xf numFmtId="0" fontId="10" fillId="0" borderId="0"/>
    <xf numFmtId="0" fontId="15" fillId="0" borderId="0"/>
  </cellStyleXfs>
  <cellXfs count="78">
    <xf numFmtId="0" fontId="0" fillId="0" borderId="0" xfId="0"/>
    <xf numFmtId="0" fontId="0" fillId="0" borderId="0" xfId="0" applyAlignment="1">
      <alignment wrapText="1"/>
    </xf>
    <xf numFmtId="164" fontId="0" fillId="0" borderId="0" xfId="0" applyNumberFormat="1"/>
    <xf numFmtId="165" fontId="0" fillId="0" borderId="0" xfId="0" applyNumberFormat="1"/>
    <xf numFmtId="164" fontId="3" fillId="0" borderId="0" xfId="0" applyNumberFormat="1" applyFont="1"/>
    <xf numFmtId="166" fontId="0" fillId="0" borderId="0" xfId="0" applyNumberFormat="1"/>
    <xf numFmtId="1" fontId="0" fillId="0" borderId="0" xfId="0" applyNumberFormat="1"/>
    <xf numFmtId="167" fontId="0" fillId="0" borderId="0" xfId="0" applyNumberFormat="1"/>
    <xf numFmtId="0" fontId="2" fillId="0" borderId="0" xfId="0" applyFont="1"/>
    <xf numFmtId="0" fontId="6" fillId="0" borderId="1" xfId="0" applyFont="1" applyBorder="1"/>
    <xf numFmtId="0" fontId="6" fillId="0" borderId="2" xfId="0" applyFont="1" applyBorder="1"/>
    <xf numFmtId="0" fontId="7" fillId="0" borderId="3" xfId="0" applyFont="1" applyBorder="1"/>
    <xf numFmtId="0" fontId="8" fillId="0" borderId="4" xfId="0" applyFont="1" applyBorder="1"/>
    <xf numFmtId="0" fontId="8" fillId="0" borderId="0" xfId="0" applyFont="1"/>
    <xf numFmtId="0" fontId="8" fillId="0" borderId="5" xfId="0" applyFont="1" applyBorder="1"/>
    <xf numFmtId="166" fontId="8" fillId="0" borderId="0" xfId="0" applyNumberFormat="1" applyFont="1"/>
    <xf numFmtId="164" fontId="8" fillId="0" borderId="5" xfId="0" applyNumberFormat="1" applyFont="1" applyBorder="1"/>
    <xf numFmtId="164" fontId="9" fillId="0" borderId="5" xfId="0" applyNumberFormat="1" applyFont="1" applyBorder="1"/>
    <xf numFmtId="0" fontId="8" fillId="0" borderId="6" xfId="0" applyFont="1" applyBorder="1"/>
    <xf numFmtId="0" fontId="8" fillId="0" borderId="7" xfId="0" applyFont="1" applyBorder="1"/>
    <xf numFmtId="166" fontId="8" fillId="0" borderId="7" xfId="0" applyNumberFormat="1" applyFont="1" applyBorder="1"/>
    <xf numFmtId="164" fontId="9" fillId="0" borderId="8" xfId="0" applyNumberFormat="1" applyFont="1" applyBorder="1"/>
    <xf numFmtId="0" fontId="7" fillId="0" borderId="0" xfId="0" applyFont="1"/>
    <xf numFmtId="166" fontId="3" fillId="0" borderId="0" xfId="0" applyNumberFormat="1" applyFont="1"/>
    <xf numFmtId="168" fontId="0" fillId="0" borderId="0" xfId="0" applyNumberFormat="1"/>
    <xf numFmtId="15" fontId="0" fillId="0" borderId="0" xfId="0" applyNumberFormat="1"/>
    <xf numFmtId="0" fontId="2" fillId="2" borderId="0" xfId="0" applyFont="1" applyFill="1"/>
    <xf numFmtId="0" fontId="0" fillId="0" borderId="0" xfId="0" applyAlignment="1">
      <alignment horizontal="center"/>
    </xf>
    <xf numFmtId="1" fontId="11" fillId="0" borderId="9" xfId="1" applyNumberFormat="1" applyFont="1" applyBorder="1" applyAlignment="1">
      <alignment horizontal="right" wrapText="1"/>
    </xf>
    <xf numFmtId="169" fontId="0" fillId="0" borderId="0" xfId="0" applyNumberFormat="1"/>
    <xf numFmtId="0" fontId="0" fillId="4" borderId="0" xfId="0" applyFill="1" applyAlignment="1">
      <alignment horizontal="center"/>
    </xf>
    <xf numFmtId="17" fontId="0" fillId="0" borderId="0" xfId="0" applyNumberFormat="1"/>
    <xf numFmtId="17" fontId="0" fillId="0" borderId="0" xfId="0" applyNumberFormat="1" applyAlignment="1">
      <alignment horizontal="right"/>
    </xf>
    <xf numFmtId="14" fontId="0" fillId="0" borderId="0" xfId="0" applyNumberFormat="1"/>
    <xf numFmtId="0" fontId="12" fillId="0" borderId="0" xfId="0" applyFont="1"/>
    <xf numFmtId="0" fontId="0" fillId="0" borderId="0" xfId="0" applyAlignment="1">
      <alignment horizontal="right"/>
    </xf>
    <xf numFmtId="0" fontId="14" fillId="0" borderId="10" xfId="0" applyFont="1" applyBorder="1"/>
    <xf numFmtId="0" fontId="14" fillId="0" borderId="11" xfId="0" applyFont="1" applyBorder="1"/>
    <xf numFmtId="0" fontId="14" fillId="0" borderId="12" xfId="0" applyFont="1" applyBorder="1"/>
    <xf numFmtId="0" fontId="14" fillId="7" borderId="11" xfId="0" applyFont="1" applyFill="1" applyBorder="1"/>
    <xf numFmtId="0" fontId="14" fillId="7" borderId="12" xfId="0" applyFont="1" applyFill="1" applyBorder="1"/>
    <xf numFmtId="0" fontId="14" fillId="0" borderId="0" xfId="0" applyFont="1"/>
    <xf numFmtId="0" fontId="14" fillId="0" borderId="13" xfId="0" applyFont="1" applyBorder="1"/>
    <xf numFmtId="0" fontId="14" fillId="0" borderId="14" xfId="0" applyFont="1" applyBorder="1"/>
    <xf numFmtId="0" fontId="14" fillId="7" borderId="0" xfId="0" applyFont="1" applyFill="1"/>
    <xf numFmtId="0" fontId="14" fillId="0" borderId="15" xfId="0" applyFont="1" applyBorder="1" applyAlignment="1">
      <alignment horizontal="left" vertical="center" wrapText="1"/>
    </xf>
    <xf numFmtId="0" fontId="0" fillId="7" borderId="0" xfId="0" applyFill="1"/>
    <xf numFmtId="166" fontId="1" fillId="0" borderId="18" xfId="2" applyNumberFormat="1" applyFont="1" applyBorder="1" applyAlignment="1">
      <alignment horizontal="right"/>
    </xf>
    <xf numFmtId="166" fontId="0" fillId="0" borderId="0" xfId="0" applyNumberFormat="1" applyAlignment="1">
      <alignment horizontal="right"/>
    </xf>
    <xf numFmtId="166" fontId="15" fillId="7" borderId="0" xfId="2" applyNumberFormat="1" applyFill="1"/>
    <xf numFmtId="0" fontId="3" fillId="0" borderId="0" xfId="0" applyFont="1"/>
    <xf numFmtId="11" fontId="3" fillId="0" borderId="0" xfId="0" applyNumberFormat="1" applyFont="1"/>
    <xf numFmtId="0" fontId="17" fillId="0" borderId="0" xfId="0" applyFont="1"/>
    <xf numFmtId="0" fontId="18" fillId="0" borderId="0" xfId="0" applyFont="1"/>
    <xf numFmtId="166" fontId="17" fillId="0" borderId="0" xfId="0" applyNumberFormat="1" applyFont="1"/>
    <xf numFmtId="0" fontId="2" fillId="9" borderId="0" xfId="0" applyFont="1" applyFill="1"/>
    <xf numFmtId="0" fontId="2" fillId="7" borderId="0" xfId="0" applyFont="1" applyFill="1"/>
    <xf numFmtId="0" fontId="2" fillId="0" borderId="0" xfId="0" applyFont="1" applyAlignment="1">
      <alignment horizontal="right"/>
    </xf>
    <xf numFmtId="166" fontId="0" fillId="4" borderId="0" xfId="0" applyNumberFormat="1" applyFill="1"/>
    <xf numFmtId="0" fontId="0" fillId="6" borderId="0" xfId="0" applyFill="1"/>
    <xf numFmtId="2" fontId="3" fillId="0" borderId="0" xfId="0" applyNumberFormat="1" applyFont="1"/>
    <xf numFmtId="0" fontId="0" fillId="10" borderId="0" xfId="0" applyFill="1"/>
    <xf numFmtId="166" fontId="0" fillId="10" borderId="0" xfId="0" applyNumberFormat="1" applyFill="1"/>
    <xf numFmtId="2" fontId="3" fillId="10" borderId="0" xfId="0" applyNumberFormat="1" applyFont="1" applyFill="1"/>
    <xf numFmtId="0" fontId="0" fillId="11" borderId="0" xfId="0" applyFill="1"/>
    <xf numFmtId="166" fontId="0" fillId="11" borderId="0" xfId="0" applyNumberFormat="1" applyFill="1"/>
    <xf numFmtId="2" fontId="3" fillId="11" borderId="0" xfId="0" applyNumberFormat="1" applyFont="1" applyFill="1"/>
    <xf numFmtId="0" fontId="2" fillId="2" borderId="0" xfId="0" applyFont="1" applyFill="1" applyAlignment="1">
      <alignment horizontal="center"/>
    </xf>
    <xf numFmtId="0" fontId="2" fillId="3" borderId="0" xfId="0" applyFont="1" applyFill="1" applyAlignment="1">
      <alignment horizontal="center" vertical="center"/>
    </xf>
    <xf numFmtId="0" fontId="0" fillId="5" borderId="0" xfId="0" applyFill="1" applyAlignment="1">
      <alignment horizontal="center"/>
    </xf>
    <xf numFmtId="0" fontId="0" fillId="6" borderId="0" xfId="0" applyFill="1" applyAlignment="1">
      <alignment horizontal="center"/>
    </xf>
    <xf numFmtId="166" fontId="15" fillId="8" borderId="0" xfId="2" applyNumberFormat="1" applyFill="1" applyAlignment="1">
      <alignment horizontal="center"/>
    </xf>
    <xf numFmtId="166" fontId="15" fillId="8" borderId="14" xfId="2" applyNumberFormat="1" applyFill="1" applyBorder="1" applyAlignment="1">
      <alignment horizontal="center"/>
    </xf>
    <xf numFmtId="0" fontId="15" fillId="0" borderId="16" xfId="2" applyBorder="1" applyAlignment="1">
      <alignment horizontal="center" wrapText="1"/>
    </xf>
    <xf numFmtId="0" fontId="15" fillId="0" borderId="17" xfId="2" applyBorder="1" applyAlignment="1">
      <alignment horizontal="center" wrapText="1"/>
    </xf>
    <xf numFmtId="0" fontId="15" fillId="8" borderId="0" xfId="2" applyFill="1" applyAlignment="1">
      <alignment horizontal="center" vertical="center" wrapText="1"/>
    </xf>
    <xf numFmtId="166" fontId="15" fillId="7" borderId="0" xfId="2" applyNumberFormat="1" applyFill="1" applyAlignment="1">
      <alignment horizontal="center"/>
    </xf>
    <xf numFmtId="0" fontId="16" fillId="4" borderId="0" xfId="0" applyFont="1" applyFill="1" applyAlignment="1">
      <alignment horizontal="center"/>
    </xf>
  </cellXfs>
  <cellStyles count="3">
    <cellStyle name="Normal" xfId="0" builtinId="0"/>
    <cellStyle name="Normal 2" xfId="2" xr:uid="{AC732B9D-1FC0-614F-9F33-7E54E7A1CBEC}"/>
    <cellStyle name="Normal_Sheet1" xfId="1" xr:uid="{90A0BED8-997B-3649-BF06-1CEADEA2B9AE}"/>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6</xdr:col>
      <xdr:colOff>797983</xdr:colOff>
      <xdr:row>0</xdr:row>
      <xdr:rowOff>4231</xdr:rowOff>
    </xdr:from>
    <xdr:to>
      <xdr:col>12</xdr:col>
      <xdr:colOff>95250</xdr:colOff>
      <xdr:row>12</xdr:row>
      <xdr:rowOff>80431</xdr:rowOff>
    </xdr:to>
    <xdr:sp macro="" textlink="">
      <xdr:nvSpPr>
        <xdr:cNvPr id="2" name="TextBox 1">
          <a:extLst>
            <a:ext uri="{FF2B5EF4-FFF2-40B4-BE49-F238E27FC236}">
              <a16:creationId xmlns:a16="http://schemas.microsoft.com/office/drawing/2014/main" id="{A11AE3CD-FE3A-3B47-ABF1-84984A48C69F}"/>
            </a:ext>
          </a:extLst>
        </xdr:cNvPr>
        <xdr:cNvSpPr txBox="1"/>
      </xdr:nvSpPr>
      <xdr:spPr>
        <a:xfrm>
          <a:off x="7380816" y="4231"/>
          <a:ext cx="4250267" cy="2489200"/>
        </a:xfrm>
        <a:prstGeom prst="rect">
          <a:avLst/>
        </a:prstGeom>
        <a:solidFill>
          <a:srgbClr val="BAEFE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process variances for hazard</a:t>
          </a:r>
          <a:r>
            <a:rPr lang="en-US" sz="1100" baseline="0"/>
            <a:t> rates were calculated by first estimating the SE for each hazard rate via the delta method, and then running White's varianc calculation to partition out env. variance. </a:t>
          </a:r>
        </a:p>
        <a:p>
          <a:endParaRPr lang="en-US" sz="1100" baseline="0"/>
        </a:p>
        <a:p>
          <a:r>
            <a:rPr lang="en-US" sz="1100" b="1" baseline="0"/>
            <a:t>Calves: currently for old data. Need to update once Matt sends me updated calf date.</a:t>
          </a:r>
          <a:r>
            <a:rPr lang="en-US" sz="1100" baseline="0"/>
            <a:t> For calf wolf hazard, it estimated 0 env. variance, so I used the upper limit.</a:t>
          </a:r>
        </a:p>
        <a:p>
          <a:r>
            <a:rPr lang="en-US" sz="1100" b="1" i="1" baseline="0"/>
            <a:t>** UPDATED MAY 6th, 2025 ** All good now</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baseline="0"/>
            <a:t>** UPDATED MAY 7th, 2025 ** All good now</a:t>
          </a:r>
        </a:p>
        <a:p>
          <a:endParaRPr lang="en-US" sz="1100" baseline="0"/>
        </a:p>
        <a:p>
          <a:r>
            <a:rPr lang="en-US" sz="1100" baseline="0"/>
            <a:t>For old adult hazard rates, the mean and lower estimates of var. was 0, so I used the upper CI estimate. For prime adult hazard rates, I used the mean estimate for process variance. I also used the estimates from the version where I replaced NAs with 0</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84667</xdr:colOff>
      <xdr:row>11</xdr:row>
      <xdr:rowOff>21166</xdr:rowOff>
    </xdr:from>
    <xdr:to>
      <xdr:col>11</xdr:col>
      <xdr:colOff>116417</xdr:colOff>
      <xdr:row>19</xdr:row>
      <xdr:rowOff>0</xdr:rowOff>
    </xdr:to>
    <xdr:sp macro="" textlink="">
      <xdr:nvSpPr>
        <xdr:cNvPr id="2" name="TextBox 1">
          <a:extLst>
            <a:ext uri="{FF2B5EF4-FFF2-40B4-BE49-F238E27FC236}">
              <a16:creationId xmlns:a16="http://schemas.microsoft.com/office/drawing/2014/main" id="{AD7BF282-4158-EF46-96F0-A93E6D9D4C43}"/>
            </a:ext>
          </a:extLst>
        </xdr:cNvPr>
        <xdr:cNvSpPr txBox="1"/>
      </xdr:nvSpPr>
      <xdr:spPr>
        <a:xfrm>
          <a:off x="5698067" y="2256366"/>
          <a:ext cx="3638550" cy="1604434"/>
        </a:xfrm>
        <a:prstGeom prst="rect">
          <a:avLst/>
        </a:prstGeom>
        <a:solidFill>
          <a:srgbClr val="BAEFE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After decomposing</a:t>
          </a:r>
          <a:r>
            <a:rPr lang="en-US" sz="1200" baseline="0"/>
            <a:t> variance, the true environmental variance was estimated at 0.0015 (best to use corrected variance rather than MLE estimated variance).</a:t>
          </a:r>
        </a:p>
        <a:p>
          <a:endParaRPr lang="en-US" sz="1200" baseline="0"/>
        </a:p>
        <a:p>
          <a:r>
            <a:rPr lang="en-US" sz="1200" baseline="0"/>
            <a:t>We can also use the MLE mean, which has been corrected for uneven sample sizes and sample variance</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24</xdr:row>
      <xdr:rowOff>190500</xdr:rowOff>
    </xdr:from>
    <xdr:to>
      <xdr:col>6</xdr:col>
      <xdr:colOff>431800</xdr:colOff>
      <xdr:row>39</xdr:row>
      <xdr:rowOff>50800</xdr:rowOff>
    </xdr:to>
    <xdr:sp macro="" textlink="">
      <xdr:nvSpPr>
        <xdr:cNvPr id="2" name="TextBox 1">
          <a:extLst>
            <a:ext uri="{FF2B5EF4-FFF2-40B4-BE49-F238E27FC236}">
              <a16:creationId xmlns:a16="http://schemas.microsoft.com/office/drawing/2014/main" id="{F9847A6D-DFFD-DE4B-B221-2E8E3EF85EDC}"/>
            </a:ext>
          </a:extLst>
        </xdr:cNvPr>
        <xdr:cNvSpPr txBox="1"/>
      </xdr:nvSpPr>
      <xdr:spPr>
        <a:xfrm>
          <a:off x="0" y="5092700"/>
          <a:ext cx="5384800" cy="2908300"/>
        </a:xfrm>
        <a:prstGeom prst="rect">
          <a:avLst/>
        </a:prstGeom>
        <a:solidFill>
          <a:srgbClr val="BAEFE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a:t>Yearling pregnancy:</a:t>
          </a:r>
          <a:r>
            <a:rPr lang="en-US" sz="1400" baseline="0"/>
            <a:t> from GLH reports (1991-2008)</a:t>
          </a:r>
        </a:p>
        <a:p>
          <a:pPr marL="0" marR="0" lvl="0" indent="0" defTabSz="914400" eaLnBrk="1" fontAlgn="auto" latinLnBrk="0" hangingPunct="1">
            <a:lnSpc>
              <a:spcPct val="100000"/>
            </a:lnSpc>
            <a:spcBef>
              <a:spcPts val="0"/>
            </a:spcBef>
            <a:spcAft>
              <a:spcPts val="0"/>
            </a:spcAft>
            <a:buClrTx/>
            <a:buSzTx/>
            <a:buFontTx/>
            <a:buNone/>
            <a:tabLst/>
            <a:defRPr/>
          </a:pPr>
          <a:r>
            <a:rPr lang="en-US" sz="1400" baseline="0"/>
            <a:t>- Use mean from 2000-2009 to match YNP pregnancy data</a:t>
          </a:r>
        </a:p>
        <a:p>
          <a:pPr marL="0" marR="0" lvl="0" indent="0" defTabSz="914400" eaLnBrk="1" fontAlgn="auto" latinLnBrk="0" hangingPunct="1">
            <a:lnSpc>
              <a:spcPct val="100000"/>
            </a:lnSpc>
            <a:spcBef>
              <a:spcPts val="0"/>
            </a:spcBef>
            <a:spcAft>
              <a:spcPts val="0"/>
            </a:spcAft>
            <a:buClrTx/>
            <a:buSzTx/>
            <a:buFontTx/>
            <a:buNone/>
            <a:tabLst/>
            <a:defRPr/>
          </a:pPr>
          <a:r>
            <a:rPr lang="en-US" sz="1400" baseline="0"/>
            <a:t>- Proffitt et al. 2014: mean yearling preg. is 8% (ranged from 1.5-22%; data from 1985-2008)</a:t>
          </a:r>
        </a:p>
        <a:p>
          <a:pPr marL="0" marR="0" lvl="0" indent="0" defTabSz="914400" eaLnBrk="1" fontAlgn="auto" latinLnBrk="0" hangingPunct="1">
            <a:lnSpc>
              <a:spcPct val="100000"/>
            </a:lnSpc>
            <a:spcBef>
              <a:spcPts val="0"/>
            </a:spcBef>
            <a:spcAft>
              <a:spcPts val="0"/>
            </a:spcAft>
            <a:buClrTx/>
            <a:buSzTx/>
            <a:buFontTx/>
            <a:buNone/>
            <a:tabLst/>
            <a:defRPr/>
          </a:pPr>
          <a:endParaRPr lang="en-US" sz="1400"/>
        </a:p>
        <a:p>
          <a:r>
            <a:rPr lang="en-US" sz="1400"/>
            <a:t>Pregnancy,</a:t>
          </a:r>
          <a:r>
            <a:rPr lang="en-US" sz="1400" baseline="0"/>
            <a:t> age 2-20:  from GAM of pregnancy ~ age, using data Dan sent on Aug 14th, 2021. </a:t>
          </a:r>
        </a:p>
        <a:p>
          <a:r>
            <a:rPr lang="en-US" sz="1400" baseline="0"/>
            <a:t>- Data is restricted to ages 2-20. Model has a random effect for year, and the age spline is restricte to 5 knots to prevent overfitting</a:t>
          </a:r>
        </a:p>
        <a:p>
          <a:r>
            <a:rPr lang="en-US" sz="1400" baseline="0"/>
            <a:t>- Environmental variance calculated via White's method</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28</xdr:row>
      <xdr:rowOff>0</xdr:rowOff>
    </xdr:from>
    <xdr:to>
      <xdr:col>7</xdr:col>
      <xdr:colOff>190500</xdr:colOff>
      <xdr:row>37</xdr:row>
      <xdr:rowOff>152400</xdr:rowOff>
    </xdr:to>
    <xdr:sp macro="" textlink="">
      <xdr:nvSpPr>
        <xdr:cNvPr id="2" name="TextBox 1">
          <a:extLst>
            <a:ext uri="{FF2B5EF4-FFF2-40B4-BE49-F238E27FC236}">
              <a16:creationId xmlns:a16="http://schemas.microsoft.com/office/drawing/2014/main" id="{49916B2B-C673-7644-9D92-18144ACCA0F9}"/>
            </a:ext>
          </a:extLst>
        </xdr:cNvPr>
        <xdr:cNvSpPr txBox="1"/>
      </xdr:nvSpPr>
      <xdr:spPr>
        <a:xfrm>
          <a:off x="1790700" y="5689600"/>
          <a:ext cx="3898900" cy="1981200"/>
        </a:xfrm>
        <a:prstGeom prst="rect">
          <a:avLst/>
        </a:prstGeom>
        <a:solidFill>
          <a:srgbClr val="BAEFE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aseline="0"/>
            <a:t>These survival estimates are from Dan MacNulty, updated in April 2025. I calculated hazard rates</a:t>
          </a:r>
        </a:p>
        <a:p>
          <a:endParaRPr lang="en-US" sz="1400" baseline="0"/>
        </a:p>
        <a:p>
          <a:r>
            <a:rPr lang="en-US" sz="1400" baseline="0"/>
            <a:t>Yearling survival is the mean survival of ages 2-4</a:t>
          </a:r>
        </a:p>
        <a:p>
          <a:endParaRPr lang="en-US" sz="1400" baseline="0"/>
        </a:p>
        <a:p>
          <a:r>
            <a:rPr lang="en-US" sz="1400" baseline="0"/>
            <a:t>Annual estimates were updated by DM and sent to me on April 30th, 2025</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11</xdr:col>
      <xdr:colOff>635000</xdr:colOff>
      <xdr:row>1</xdr:row>
      <xdr:rowOff>12700</xdr:rowOff>
    </xdr:from>
    <xdr:to>
      <xdr:col>19</xdr:col>
      <xdr:colOff>228600</xdr:colOff>
      <xdr:row>13</xdr:row>
      <xdr:rowOff>114300</xdr:rowOff>
    </xdr:to>
    <xdr:sp macro="" textlink="">
      <xdr:nvSpPr>
        <xdr:cNvPr id="2" name="TextBox 1">
          <a:extLst>
            <a:ext uri="{FF2B5EF4-FFF2-40B4-BE49-F238E27FC236}">
              <a16:creationId xmlns:a16="http://schemas.microsoft.com/office/drawing/2014/main" id="{EA664BF5-60C8-CF47-844C-CC0DA4C6A1E5}"/>
            </a:ext>
          </a:extLst>
        </xdr:cNvPr>
        <xdr:cNvSpPr txBox="1"/>
      </xdr:nvSpPr>
      <xdr:spPr>
        <a:xfrm>
          <a:off x="10134600" y="215900"/>
          <a:ext cx="6197600" cy="2540000"/>
        </a:xfrm>
        <a:prstGeom prst="rect">
          <a:avLst/>
        </a:prstGeom>
        <a:solidFill>
          <a:srgbClr val="BAEFE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aseline="0"/>
            <a:t>Estimated from a model of P0 ~ SWE + Precip, using adjusted calf/cow values from 1995, 1998-2009, 2012-2013 for individual countunits. Annual values are averages across countunits each year (i.e., predict at countunit level, and then average by year). Model includes random intercepts for year and unit, and random slopes of SWE by both intercepts.</a:t>
          </a:r>
        </a:p>
        <a:p>
          <a:endParaRPr lang="en-US" sz="1400" baseline="0"/>
        </a:p>
        <a:p>
          <a:r>
            <a:rPr lang="en-US" sz="1400" baseline="0"/>
            <a:t>Value for 1995 is predicted from average SWE from Nov 1995-May 1996 (represents survival from June 1995 - May 1996)</a:t>
          </a:r>
        </a:p>
        <a:p>
          <a:endParaRPr lang="en-US" sz="1400" baseline="0"/>
        </a:p>
        <a:p>
          <a:r>
            <a:rPr lang="en-US" sz="1400" baseline="0"/>
            <a:t>Environmental Variance estimated with White's method</a:t>
          </a:r>
        </a:p>
      </xdr:txBody>
    </xdr:sp>
    <xdr:clientData/>
  </xdr:twoCellAnchor>
  <xdr:twoCellAnchor>
    <xdr:from>
      <xdr:col>6</xdr:col>
      <xdr:colOff>711200</xdr:colOff>
      <xdr:row>36</xdr:row>
      <xdr:rowOff>127000</xdr:rowOff>
    </xdr:from>
    <xdr:to>
      <xdr:col>9</xdr:col>
      <xdr:colOff>736600</xdr:colOff>
      <xdr:row>40</xdr:row>
      <xdr:rowOff>101600</xdr:rowOff>
    </xdr:to>
    <xdr:sp macro="" textlink="">
      <xdr:nvSpPr>
        <xdr:cNvPr id="3" name="TextBox 2">
          <a:extLst>
            <a:ext uri="{FF2B5EF4-FFF2-40B4-BE49-F238E27FC236}">
              <a16:creationId xmlns:a16="http://schemas.microsoft.com/office/drawing/2014/main" id="{21F8C05F-3BF6-504A-BE1D-A3C2DC9EF503}"/>
            </a:ext>
          </a:extLst>
        </xdr:cNvPr>
        <xdr:cNvSpPr txBox="1"/>
      </xdr:nvSpPr>
      <xdr:spPr>
        <a:xfrm>
          <a:off x="5664200" y="7442200"/>
          <a:ext cx="2641600" cy="787400"/>
        </a:xfrm>
        <a:prstGeom prst="rect">
          <a:avLst/>
        </a:prstGeom>
        <a:solidFill>
          <a:srgbClr val="BAEFE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aseline="0"/>
            <a:t>Annual values of SWE and Precip (averaged across countunits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12</xdr:col>
      <xdr:colOff>736600</xdr:colOff>
      <xdr:row>1</xdr:row>
      <xdr:rowOff>139700</xdr:rowOff>
    </xdr:from>
    <xdr:to>
      <xdr:col>18</xdr:col>
      <xdr:colOff>0</xdr:colOff>
      <xdr:row>10</xdr:row>
      <xdr:rowOff>190500</xdr:rowOff>
    </xdr:to>
    <xdr:sp macro="" textlink="">
      <xdr:nvSpPr>
        <xdr:cNvPr id="2" name="TextBox 1">
          <a:extLst>
            <a:ext uri="{FF2B5EF4-FFF2-40B4-BE49-F238E27FC236}">
              <a16:creationId xmlns:a16="http://schemas.microsoft.com/office/drawing/2014/main" id="{3DD8105C-C0F4-9141-BB6A-6240E6548333}"/>
            </a:ext>
          </a:extLst>
        </xdr:cNvPr>
        <xdr:cNvSpPr txBox="1"/>
      </xdr:nvSpPr>
      <xdr:spPr>
        <a:xfrm>
          <a:off x="10642600" y="342900"/>
          <a:ext cx="4216400" cy="1879600"/>
        </a:xfrm>
        <a:prstGeom prst="rect">
          <a:avLst/>
        </a:prstGeom>
        <a:solidFill>
          <a:srgbClr val="BAEFE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aseline="0"/>
            <a:t>Updated May 7th, 2025</a:t>
          </a:r>
        </a:p>
        <a:p>
          <a:r>
            <a:rPr lang="en-US" sz="1400" baseline="0"/>
            <a:t>- Updated the number of calf kills/hazard rates</a:t>
          </a:r>
        </a:p>
        <a:p>
          <a:endParaRPr lang="en-US" sz="1400" baseline="0"/>
        </a:p>
        <a:p>
          <a:r>
            <a:rPr lang="en-US" sz="1400" baseline="0"/>
            <a:t>- Calculated process variances for hazard rates using delta method to convert variance on probabilities to hazards</a:t>
          </a:r>
        </a:p>
      </xdr:txBody>
    </xdr:sp>
    <xdr:clientData/>
  </xdr:twoCellAnchor>
</xdr:wsDr>
</file>

<file path=xl/persons/person.xml><?xml version="1.0" encoding="utf-8"?>
<personList xmlns="http://schemas.microsoft.com/office/spreadsheetml/2018/threadedcomments" xmlns:x="http://schemas.openxmlformats.org/spreadsheetml/2006/main">
  <person displayName="Lainie Brice" id="{63318F1E-4E2F-FE4A-A2CB-B32493E84957}" userId="S::emb425@cornell.edu::3fecadee-7944-4833-9e99-c7b9ebf1d14b" providerId="AD"/>
  <person displayName="Lainie Brice" id="{2ED14F44-9FCB-EF4F-8824-05E0A55F9072}" userId="S::elaine.brice@aggiemail.usu.edu::e9dbf040-7b44-4781-8cd8-a436484b564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N1" dT="2024-10-02T16:56:07.45" personId="{63318F1E-4E2F-FE4A-A2CB-B32493E84957}" id="{ED32B631-2EB8-DB43-8875-4551275AB69C}">
    <text>The data that does into the simulation</text>
  </threadedComment>
</ThreadedComments>
</file>

<file path=xl/threadedComments/threadedComment2.xml><?xml version="1.0" encoding="utf-8"?>
<ThreadedComments xmlns="http://schemas.microsoft.com/office/spreadsheetml/2018/threadedcomments" xmlns:x="http://schemas.openxmlformats.org/spreadsheetml/2006/main">
  <threadedComment ref="D3" dT="2021-08-03T19:49:40.85" personId="{2ED14F44-9FCB-EF4F-8824-05E0A55F9072}" id="{B548C1A9-AA5A-3646-B40B-4EF6D4D68519}">
    <text>From spring classification data</text>
  </threadedComment>
  <threadedComment ref="H3" dT="2021-08-03T19:52:10.97" personId="{2ED14F44-9FCB-EF4F-8824-05E0A55F9072}" id="{B7F07399-0726-ED4D-BAA2-A62C0A299CD5}">
    <text>Annual observed cow numbers</text>
  </threadedComment>
  <threadedComment ref="K3" dT="2021-08-03T19:53:44.25" personId="{2ED14F44-9FCB-EF4F-8824-05E0A55F9072}" id="{972E197F-E7F1-1641-BE8B-8D60DF8CC15F}">
    <text>Age distribution of starting population</text>
  </threadedComment>
</ThreadedComments>
</file>

<file path=xl/threadedComments/threadedComment3.xml><?xml version="1.0" encoding="utf-8"?>
<ThreadedComments xmlns="http://schemas.microsoft.com/office/spreadsheetml/2018/threadedcomments" xmlns:x="http://schemas.openxmlformats.org/spreadsheetml/2006/main">
  <threadedComment ref="A1" dT="2021-09-29T22:19:16.94" personId="{2ED14F44-9FCB-EF4F-8824-05E0A55F9072}" id="{D235A2B6-3D87-834F-A2BF-E726C81D8864}">
    <text>Data updated by Sarah Hoy in Sep 2021, now includes 2010-2013</text>
  </threadedComment>
</ThreadedComments>
</file>

<file path=xl/threadedComments/threadedComment4.xml><?xml version="1.0" encoding="utf-8"?>
<ThreadedComments xmlns="http://schemas.microsoft.com/office/spreadsheetml/2018/threadedcomments" xmlns:x="http://schemas.openxmlformats.org/spreadsheetml/2006/main">
  <threadedComment ref="R2" dT="2021-09-29T22:35:49.90" personId="{2ED14F44-9FCB-EF4F-8824-05E0A55F9072}" id="{9E956707-6B22-734F-85B8-B71DAC2399A0}">
    <text>Don’t have countunit calf-cow counts for 2010-2011 (only ground counts)</text>
  </threadedComment>
  <threadedComment ref="B4" dT="2021-09-29T22:36:16.14" personId="{2ED14F44-9FCB-EF4F-8824-05E0A55F9072}" id="{BF38B1DC-46E0-924B-8ABF-705F008C8AB1}">
    <text>Don’t have FSR after 2009. Using mean FSR for 2012 and 2013 right now, since we have counts for those years</text>
  </threadedComment>
  <threadedComment ref="C6" dT="2021-08-16T22:52:13.43" personId="{2ED14F44-9FCB-EF4F-8824-05E0A55F9072}" id="{803E1959-D1F1-4B4C-9A7B-63E125569505}">
    <text>Data from Hoy et al. 2020, correct as of Sep 2021</text>
  </threadedComment>
  <threadedComment ref="V6" dT="2021-08-16T22:58:23.35" personId="{2ED14F44-9FCB-EF4F-8824-05E0A55F9072}" id="{F8DB0A8E-BF8F-8E4F-9F9E-0BF2D84AEC46}">
    <text>From GAM of pregnancy ~ age with year as a random effect, run on Aug 16th, 2021.
Yearling pregnancy is the mean from 1991-2008 GLH reports (Proffitt et al. 2014 estimate 8%)</text>
  </threadedComment>
</ThreadedComments>
</file>

<file path=xl/threadedComments/threadedComment5.xml><?xml version="1.0" encoding="utf-8"?>
<ThreadedComments xmlns="http://schemas.microsoft.com/office/spreadsheetml/2018/threadedcomments" xmlns:x="http://schemas.openxmlformats.org/spreadsheetml/2006/main">
  <threadedComment ref="C2" dT="2021-08-03T19:25:16.96" personId="{2ED14F44-9FCB-EF4F-8824-05E0A55F9072}" id="{32FB1D63-87ED-6642-AF36-A5F5929FF130}">
    <text>Includes all cows harvested in GLH and general hunt, as well as illegal harvest. For 2014-2021, had counts of “antlerless” rather than cows. To estimate the number of cows, used the mean % of antlerless of the cows in previous years</text>
  </threadedComment>
  <threadedComment ref="V30" dT="2021-10-22T19:39:11.03" personId="{2ED14F44-9FCB-EF4F-8824-05E0A55F9072}" id="{D14AEE44-F3E1-9A4E-8071-340B39202743}">
    <text>Don’t have age distribution after 2013, so using mean from last 5 years</text>
  </threadedComment>
  <threadedComment ref="V30" dT="2021-10-22T19:39:48.11" personId="{2ED14F44-9FCB-EF4F-8824-05E0A55F9072}" id="{868B4D91-F94D-574C-9A36-52FD5087C84F}" parentId="{D14AEE44-F3E1-9A4E-8071-340B39202743}">
    <text>Rolling for all the missing years</text>
  </threadedComment>
  <threadedComment ref="V53" dT="2021-10-22T19:39:11.03" personId="{2ED14F44-9FCB-EF4F-8824-05E0A55F9072}" id="{D38B1BA3-F64B-9842-9076-E53A965744B6}">
    <text>Don’t have age distribution after 2013, so using mean from last 5 years</text>
  </threadedComment>
  <threadedComment ref="V53" dT="2021-10-22T19:39:48.11" personId="{2ED14F44-9FCB-EF4F-8824-05E0A55F9072}" id="{EBE311A5-3C61-1744-81BB-54B9E784DEDA}" parentId="{D38B1BA3-F64B-9842-9076-E53A965744B6}">
    <text>Rolling for all the missing years</text>
  </threadedComment>
  <threadedComment ref="V78" dT="2021-10-22T19:39:11.03" personId="{2ED14F44-9FCB-EF4F-8824-05E0A55F9072}" id="{9DCE73E4-AB39-F84C-BB84-097935529599}">
    <text>Don’t have age distribution after 2013, so using mean from last 5 years</text>
  </threadedComment>
  <threadedComment ref="V78" dT="2021-10-22T19:39:48.11" personId="{2ED14F44-9FCB-EF4F-8824-05E0A55F9072}" id="{4D08E323-8E02-4E45-9780-55BA1706C7CE}" parentId="{9DCE73E4-AB39-F84C-BB84-097935529599}">
    <text>Rolling for all the missing years</text>
  </threadedComment>
</ThreadedComments>
</file>

<file path=xl/threadedComments/threadedComment6.xml><?xml version="1.0" encoding="utf-8"?>
<ThreadedComments xmlns="http://schemas.microsoft.com/office/spreadsheetml/2018/threadedcomments" xmlns:x="http://schemas.openxmlformats.org/spreadsheetml/2006/main">
  <threadedComment ref="N37" dT="2021-11-08T00:28:28.94" personId="{2ED14F44-9FCB-EF4F-8824-05E0A55F9072}" id="{02C76B62-B6A4-F042-AD7F-517E81BD0BB2}">
    <text>From eyeballing figure 2d</text>
  </threadedComment>
</ThreadedComments>
</file>

<file path=xl/threadedComments/threadedComment7.xml><?xml version="1.0" encoding="utf-8"?>
<ThreadedComments xmlns="http://schemas.microsoft.com/office/spreadsheetml/2018/threadedcomments" xmlns:x="http://schemas.openxmlformats.org/spreadsheetml/2006/main">
  <threadedComment ref="D2" dT="2024-09-26T21:53:18.94" personId="{63318F1E-4E2F-FE4A-A2CB-B32493E84957}" id="{E1D104AB-6A73-D846-9CF3-E2046EC9543F}">
    <text>Total post-hunt population, updated with Brian Smith’s data (2023-2024)</text>
  </threadedComment>
  <threadedComment ref="D2" dT="2024-10-01T17:04:11.79" personId="{63318F1E-4E2F-FE4A-A2CB-B32493E84957}" id="{782C50AF-1103-0C4F-B5D8-7266749D6529}" parentId="{E1D104AB-6A73-D846-9CF3-E2046EC9543F}">
    <text>First year has been replaced with sum of cows from 1995 hunted age distribution</text>
  </threadedComment>
  <threadedComment ref="E2" dT="2024-09-26T21:10:31.34" personId="{63318F1E-4E2F-FE4A-A2CB-B32493E84957}" id="{3662ADDE-EED2-B14C-AAF7-7AF0D8DC453E}">
    <text>Values for 2014-2019 are generated from a beta distribution based on the mean and sd of 1995-2013</text>
  </threadedComment>
  <threadedComment ref="F2" dT="2024-09-26T21:53:26.87" personId="{63318F1E-4E2F-FE4A-A2CB-B32493E84957}" id="{CECCE3C0-376E-884D-8A59-89647131FFBC}">
    <text>N.cows times female births per cow</text>
  </threadedComment>
  <threadedComment ref="G2" dT="2024-09-26T21:53:47.50" personId="{63318F1E-4E2F-FE4A-A2CB-B32493E84957}" id="{446D07D8-5EFB-CB4C-BA6B-536EB80A172D}">
    <text>Based on correction factor for 2007 and beyond</text>
  </threadedComment>
</ThreadedComment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5.xml"/><Relationship Id="rId4" Type="http://schemas.microsoft.com/office/2017/10/relationships/threadedComment" Target="../threadedComments/threadedComment6.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6.xml"/><Relationship Id="rId4" Type="http://schemas.microsoft.com/office/2017/10/relationships/threadedComment" Target="../threadedComments/threadedComment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A0BEB-B65B-654B-A5B4-2ABD8AEFEE90}">
  <sheetPr>
    <tabColor theme="8" tint="0.59999389629810485"/>
  </sheetPr>
  <dimension ref="A1:F10"/>
  <sheetViews>
    <sheetView zoomScale="120" zoomScaleNormal="120" workbookViewId="0">
      <selection activeCell="D27" sqref="D27"/>
    </sheetView>
  </sheetViews>
  <sheetFormatPr baseColWidth="10" defaultRowHeight="16" x14ac:dyDescent="0.2"/>
  <cols>
    <col min="1" max="1" width="18.6640625" bestFit="1" customWidth="1"/>
    <col min="2" max="3" width="28.5" bestFit="1" customWidth="1"/>
    <col min="4" max="4" width="37" bestFit="1" customWidth="1"/>
    <col min="5" max="5" width="48.6640625" bestFit="1" customWidth="1"/>
  </cols>
  <sheetData>
    <row r="1" spans="1:6" ht="17" x14ac:dyDescent="0.2">
      <c r="A1" t="s">
        <v>0</v>
      </c>
      <c r="B1" t="s">
        <v>1</v>
      </c>
      <c r="C1" t="s">
        <v>2</v>
      </c>
      <c r="D1" t="s">
        <v>3</v>
      </c>
      <c r="E1" s="1" t="s">
        <v>4</v>
      </c>
    </row>
    <row r="2" spans="1:6" ht="17" x14ac:dyDescent="0.2">
      <c r="A2" t="s">
        <v>5</v>
      </c>
      <c r="B2" t="s">
        <v>6</v>
      </c>
      <c r="C2" t="s">
        <v>6</v>
      </c>
      <c r="D2" t="s">
        <v>7</v>
      </c>
      <c r="E2" s="1" t="s">
        <v>8</v>
      </c>
    </row>
    <row r="3" spans="1:6" ht="17" x14ac:dyDescent="0.2">
      <c r="A3" t="s">
        <v>9</v>
      </c>
      <c r="B3" t="s">
        <v>10</v>
      </c>
      <c r="C3" t="s">
        <v>11</v>
      </c>
      <c r="D3" t="s">
        <v>12</v>
      </c>
      <c r="E3" s="1" t="s">
        <v>13</v>
      </c>
    </row>
    <row r="4" spans="1:6" ht="17" x14ac:dyDescent="0.2">
      <c r="A4" t="s">
        <v>14</v>
      </c>
      <c r="B4" t="s">
        <v>15</v>
      </c>
      <c r="C4" t="s">
        <v>16</v>
      </c>
      <c r="D4" t="s">
        <v>12</v>
      </c>
      <c r="E4" s="1" t="s">
        <v>17</v>
      </c>
    </row>
    <row r="5" spans="1:6" ht="17" x14ac:dyDescent="0.2">
      <c r="A5" t="s">
        <v>18</v>
      </c>
      <c r="B5" t="s">
        <v>19</v>
      </c>
      <c r="C5" t="s">
        <v>19</v>
      </c>
      <c r="D5" t="s">
        <v>20</v>
      </c>
      <c r="E5" s="1" t="s">
        <v>21</v>
      </c>
    </row>
    <row r="6" spans="1:6" ht="17" x14ac:dyDescent="0.2">
      <c r="A6" t="s">
        <v>22</v>
      </c>
      <c r="B6" t="s">
        <v>23</v>
      </c>
      <c r="C6" t="s">
        <v>23</v>
      </c>
      <c r="D6" t="s">
        <v>7</v>
      </c>
      <c r="E6" s="1" t="s">
        <v>24</v>
      </c>
    </row>
    <row r="7" spans="1:6" ht="17" x14ac:dyDescent="0.2">
      <c r="B7" t="s">
        <v>25</v>
      </c>
      <c r="C7" t="s">
        <v>25</v>
      </c>
      <c r="D7" t="s">
        <v>26</v>
      </c>
      <c r="E7" s="1" t="s">
        <v>27</v>
      </c>
    </row>
    <row r="8" spans="1:6" ht="17" x14ac:dyDescent="0.2">
      <c r="A8" t="s">
        <v>28</v>
      </c>
      <c r="B8" t="s">
        <v>29</v>
      </c>
      <c r="C8" t="s">
        <v>29</v>
      </c>
      <c r="D8" t="s">
        <v>7</v>
      </c>
      <c r="E8" s="1" t="s">
        <v>30</v>
      </c>
    </row>
    <row r="9" spans="1:6" ht="34" x14ac:dyDescent="0.2">
      <c r="A9" t="s">
        <v>31</v>
      </c>
      <c r="B9" t="s">
        <v>32</v>
      </c>
      <c r="C9" t="s">
        <v>33</v>
      </c>
      <c r="D9" t="s">
        <v>34</v>
      </c>
      <c r="E9" s="1" t="s">
        <v>35</v>
      </c>
      <c r="F9" t="s">
        <v>36</v>
      </c>
    </row>
    <row r="10" spans="1:6" ht="68" x14ac:dyDescent="0.2">
      <c r="A10" t="s">
        <v>37</v>
      </c>
      <c r="B10" t="s">
        <v>38</v>
      </c>
      <c r="C10" t="s">
        <v>38</v>
      </c>
      <c r="D10" t="s">
        <v>39</v>
      </c>
      <c r="E10" s="1" t="s">
        <v>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1B510-D926-C144-A785-7AA59B06E20B}">
  <sheetPr>
    <tabColor theme="8" tint="0.59999389629810485"/>
  </sheetPr>
  <dimension ref="B1:F47"/>
  <sheetViews>
    <sheetView zoomScale="120" zoomScaleNormal="120" workbookViewId="0">
      <selection activeCell="D14" sqref="D14:F15"/>
    </sheetView>
  </sheetViews>
  <sheetFormatPr baseColWidth="10" defaultRowHeight="16" x14ac:dyDescent="0.2"/>
  <cols>
    <col min="2" max="2" width="16.33203125" bestFit="1" customWidth="1"/>
    <col min="3" max="3" width="23.83203125" bestFit="1" customWidth="1"/>
    <col min="4" max="5" width="12.1640625" bestFit="1" customWidth="1"/>
  </cols>
  <sheetData>
    <row r="1" spans="2:6" x14ac:dyDescent="0.2">
      <c r="C1" t="s">
        <v>97</v>
      </c>
      <c r="D1" t="s">
        <v>98</v>
      </c>
      <c r="E1" t="s">
        <v>100</v>
      </c>
      <c r="F1" t="s">
        <v>99</v>
      </c>
    </row>
    <row r="2" spans="2:6" x14ac:dyDescent="0.2">
      <c r="B2" t="s">
        <v>101</v>
      </c>
      <c r="C2" t="s">
        <v>44</v>
      </c>
      <c r="D2" s="24">
        <v>1.2501249999999999E-3</v>
      </c>
      <c r="E2" s="24">
        <v>5.2505249999999998E-4</v>
      </c>
      <c r="F2" s="7">
        <v>4.5254529999999996E-3</v>
      </c>
    </row>
    <row r="3" spans="2:6" x14ac:dyDescent="0.2">
      <c r="B3" t="s">
        <v>101</v>
      </c>
      <c r="C3" t="s">
        <v>45</v>
      </c>
      <c r="D3" s="24">
        <v>7.5007500000000003E-5</v>
      </c>
      <c r="E3" s="24">
        <v>2.50025E-5</v>
      </c>
      <c r="F3" s="7">
        <v>3.5003500000000001E-4</v>
      </c>
    </row>
    <row r="4" spans="2:6" x14ac:dyDescent="0.2">
      <c r="C4" t="s">
        <v>46</v>
      </c>
      <c r="D4">
        <v>0</v>
      </c>
      <c r="E4">
        <v>0</v>
      </c>
      <c r="F4" s="7">
        <v>3.2778278000000001E-2</v>
      </c>
    </row>
    <row r="5" spans="2:6" x14ac:dyDescent="0.2">
      <c r="C5" t="s">
        <v>47</v>
      </c>
      <c r="D5">
        <v>0</v>
      </c>
      <c r="E5">
        <v>0</v>
      </c>
      <c r="F5" s="7">
        <v>2.4352434999999999E-2</v>
      </c>
    </row>
    <row r="6" spans="2:6" x14ac:dyDescent="0.2">
      <c r="B6" t="s">
        <v>102</v>
      </c>
      <c r="C6" t="s">
        <v>44</v>
      </c>
      <c r="D6">
        <v>0</v>
      </c>
      <c r="E6">
        <v>0</v>
      </c>
      <c r="F6" s="7">
        <v>5.1755176000000003E-3</v>
      </c>
    </row>
    <row r="7" spans="2:6" x14ac:dyDescent="0.2">
      <c r="B7" t="s">
        <v>102</v>
      </c>
      <c r="C7" t="s">
        <v>45</v>
      </c>
      <c r="D7" s="3">
        <v>5.0005E-5</v>
      </c>
      <c r="E7">
        <v>0</v>
      </c>
      <c r="F7" s="7">
        <v>8.7508750000000004E-4</v>
      </c>
    </row>
    <row r="9" spans="2:6" x14ac:dyDescent="0.2">
      <c r="C9" t="s">
        <v>103</v>
      </c>
      <c r="D9" t="s">
        <v>98</v>
      </c>
      <c r="E9" t="s">
        <v>100</v>
      </c>
      <c r="F9" t="s">
        <v>99</v>
      </c>
    </row>
    <row r="10" spans="2:6" x14ac:dyDescent="0.2">
      <c r="B10" s="25">
        <v>45778</v>
      </c>
      <c r="C10" t="s">
        <v>104</v>
      </c>
      <c r="D10">
        <v>0</v>
      </c>
      <c r="E10">
        <v>0</v>
      </c>
      <c r="F10">
        <v>1.552655E-2</v>
      </c>
    </row>
    <row r="11" spans="2:6" x14ac:dyDescent="0.2">
      <c r="C11" t="s">
        <v>105</v>
      </c>
      <c r="D11">
        <v>1.2451250000000001E-2</v>
      </c>
      <c r="E11">
        <v>0</v>
      </c>
      <c r="F11">
        <v>8.8308830000000005E-2</v>
      </c>
    </row>
    <row r="12" spans="2:6" x14ac:dyDescent="0.2">
      <c r="B12" s="33">
        <v>45783</v>
      </c>
      <c r="C12" t="s">
        <v>104</v>
      </c>
      <c r="D12">
        <v>0</v>
      </c>
      <c r="E12">
        <v>0</v>
      </c>
      <c r="F12">
        <v>2.085209E-2</v>
      </c>
    </row>
    <row r="13" spans="2:6" x14ac:dyDescent="0.2">
      <c r="C13" t="s">
        <v>105</v>
      </c>
      <c r="D13">
        <v>1.7026699999999999E-2</v>
      </c>
      <c r="E13">
        <v>0</v>
      </c>
      <c r="F13">
        <v>0.10738573999999999</v>
      </c>
    </row>
    <row r="14" spans="2:6" x14ac:dyDescent="0.2">
      <c r="C14" t="s">
        <v>104</v>
      </c>
      <c r="D14">
        <v>0</v>
      </c>
      <c r="E14">
        <v>0</v>
      </c>
      <c r="F14" s="59">
        <v>1.9226920000000002E-2</v>
      </c>
    </row>
    <row r="15" spans="2:6" x14ac:dyDescent="0.2">
      <c r="C15" t="s">
        <v>105</v>
      </c>
      <c r="D15" s="59">
        <v>1.6476649999999999E-2</v>
      </c>
      <c r="E15" s="59">
        <v>0</v>
      </c>
      <c r="F15" s="59">
        <v>0.10501050000000001</v>
      </c>
    </row>
    <row r="18" spans="3:5" x14ac:dyDescent="0.2">
      <c r="C18" t="s">
        <v>0</v>
      </c>
      <c r="D18" t="s">
        <v>41</v>
      </c>
    </row>
    <row r="19" spans="3:5" x14ac:dyDescent="0.2">
      <c r="C19" t="s">
        <v>18</v>
      </c>
      <c r="D19" s="2">
        <v>2.175218E-3</v>
      </c>
    </row>
    <row r="20" spans="3:5" x14ac:dyDescent="0.2">
      <c r="C20" t="s">
        <v>42</v>
      </c>
      <c r="D20">
        <f>F14</f>
        <v>1.9226920000000002E-2</v>
      </c>
    </row>
    <row r="21" spans="3:5" x14ac:dyDescent="0.2">
      <c r="C21" t="s">
        <v>43</v>
      </c>
      <c r="D21">
        <f>D15</f>
        <v>1.6476649999999999E-2</v>
      </c>
    </row>
    <row r="22" spans="3:5" x14ac:dyDescent="0.2">
      <c r="C22" t="s">
        <v>44</v>
      </c>
      <c r="D22" s="24">
        <v>1.2501249999999999E-3</v>
      </c>
      <c r="E22" s="2"/>
    </row>
    <row r="23" spans="3:5" x14ac:dyDescent="0.2">
      <c r="C23" t="s">
        <v>45</v>
      </c>
      <c r="D23" s="24">
        <v>7.5007500000000003E-5</v>
      </c>
      <c r="E23" s="2"/>
    </row>
    <row r="24" spans="3:5" x14ac:dyDescent="0.2">
      <c r="C24" t="s">
        <v>46</v>
      </c>
      <c r="D24" s="7">
        <v>3.2778278000000001E-2</v>
      </c>
    </row>
    <row r="25" spans="3:5" x14ac:dyDescent="0.2">
      <c r="C25" t="s">
        <v>47</v>
      </c>
      <c r="D25" s="7">
        <v>2.4352434999999999E-2</v>
      </c>
    </row>
    <row r="26" spans="3:5" x14ac:dyDescent="0.2">
      <c r="C26" t="s">
        <v>48</v>
      </c>
      <c r="D26" s="2">
        <v>1.512141E-3</v>
      </c>
    </row>
    <row r="27" spans="3:5" x14ac:dyDescent="0.2">
      <c r="C27" t="s">
        <v>49</v>
      </c>
      <c r="D27" s="2"/>
    </row>
    <row r="28" spans="3:5" x14ac:dyDescent="0.2">
      <c r="C28">
        <v>1.7</v>
      </c>
      <c r="D28" s="2">
        <v>4.1254129999999996E-3</v>
      </c>
    </row>
    <row r="29" spans="3:5" x14ac:dyDescent="0.2">
      <c r="C29">
        <v>2.7</v>
      </c>
      <c r="D29" s="4">
        <v>7.0007000000000003E-3</v>
      </c>
    </row>
    <row r="30" spans="3:5" x14ac:dyDescent="0.2">
      <c r="C30">
        <v>3.7</v>
      </c>
      <c r="D30" s="4">
        <v>5.6905690000000002E-2</v>
      </c>
    </row>
    <row r="31" spans="3:5" x14ac:dyDescent="0.2">
      <c r="C31">
        <v>4.7</v>
      </c>
      <c r="D31" s="4">
        <v>4.4479449999999997E-2</v>
      </c>
    </row>
    <row r="32" spans="3:5" x14ac:dyDescent="0.2">
      <c r="C32">
        <v>5.7</v>
      </c>
      <c r="D32" s="4">
        <v>5.2730270000000003E-2</v>
      </c>
    </row>
    <row r="33" spans="3:4" x14ac:dyDescent="0.2">
      <c r="C33">
        <v>6.7</v>
      </c>
      <c r="D33" s="4">
        <v>1.755176E-2</v>
      </c>
    </row>
    <row r="34" spans="3:4" x14ac:dyDescent="0.2">
      <c r="C34">
        <v>7.7</v>
      </c>
      <c r="D34" s="4">
        <v>4.9404940000000001E-2</v>
      </c>
    </row>
    <row r="35" spans="3:4" x14ac:dyDescent="0.2">
      <c r="C35">
        <v>8.6999999999999993</v>
      </c>
      <c r="D35" s="4">
        <v>4.5204519999999998E-2</v>
      </c>
    </row>
    <row r="36" spans="3:4" x14ac:dyDescent="0.2">
      <c r="C36">
        <v>9.6999999999999993</v>
      </c>
      <c r="D36" s="4">
        <v>4.8704869999999997E-2</v>
      </c>
    </row>
    <row r="37" spans="3:4" x14ac:dyDescent="0.2">
      <c r="C37">
        <v>10.7</v>
      </c>
      <c r="D37" s="4">
        <v>3.6178620000000002E-2</v>
      </c>
    </row>
    <row r="38" spans="3:4" x14ac:dyDescent="0.2">
      <c r="C38">
        <v>11.7</v>
      </c>
      <c r="D38" s="4">
        <v>1.6026599999999998E-2</v>
      </c>
    </row>
    <row r="39" spans="3:4" x14ac:dyDescent="0.2">
      <c r="C39">
        <v>12.7</v>
      </c>
      <c r="D39" s="4">
        <v>5.5605559999999998E-2</v>
      </c>
    </row>
    <row r="40" spans="3:4" x14ac:dyDescent="0.2">
      <c r="C40">
        <v>13.7</v>
      </c>
      <c r="D40" s="4">
        <v>4.0104010000000002E-2</v>
      </c>
    </row>
    <row r="41" spans="3:4" x14ac:dyDescent="0.2">
      <c r="C41">
        <v>14.7</v>
      </c>
      <c r="D41" s="4">
        <v>5.5055510000000002E-2</v>
      </c>
    </row>
    <row r="42" spans="3:4" x14ac:dyDescent="0.2">
      <c r="C42">
        <v>15.7</v>
      </c>
      <c r="D42" s="4">
        <v>9.8009800000000008E-3</v>
      </c>
    </row>
    <row r="43" spans="3:4" x14ac:dyDescent="0.2">
      <c r="C43">
        <v>16.7</v>
      </c>
      <c r="D43" s="4">
        <v>5.313031E-2</v>
      </c>
    </row>
    <row r="44" spans="3:4" x14ac:dyDescent="0.2">
      <c r="C44">
        <v>17.7</v>
      </c>
      <c r="D44" s="4">
        <v>4.4429440000000001E-2</v>
      </c>
    </row>
    <row r="45" spans="3:4" x14ac:dyDescent="0.2">
      <c r="C45">
        <v>18.7</v>
      </c>
      <c r="D45" s="4">
        <v>5.0805080000000002E-2</v>
      </c>
    </row>
    <row r="46" spans="3:4" x14ac:dyDescent="0.2">
      <c r="C46">
        <v>19.7</v>
      </c>
      <c r="D46" s="4">
        <v>2.5777580000000001E-2</v>
      </c>
    </row>
    <row r="47" spans="3:4" x14ac:dyDescent="0.2">
      <c r="C47">
        <v>20.7</v>
      </c>
      <c r="D47" s="4">
        <v>3.2903290000000002E-2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07D04-65B5-3F43-A0AA-DDBF2A2C55EC}">
  <sheetPr>
    <tabColor theme="8" tint="0.59999389629810485"/>
  </sheetPr>
  <dimension ref="A2:K31"/>
  <sheetViews>
    <sheetView tabSelected="1" zoomScale="120" zoomScaleNormal="120" workbookViewId="0">
      <selection activeCell="D27" sqref="D27"/>
    </sheetView>
  </sheetViews>
  <sheetFormatPr baseColWidth="10" defaultRowHeight="16" x14ac:dyDescent="0.2"/>
  <cols>
    <col min="7" max="7" width="8.6640625" bestFit="1" customWidth="1"/>
    <col min="8" max="8" width="13.5" customWidth="1"/>
    <col min="9" max="9" width="12.1640625" bestFit="1" customWidth="1"/>
  </cols>
  <sheetData>
    <row r="2" spans="1:11" x14ac:dyDescent="0.2">
      <c r="A2" t="s">
        <v>50</v>
      </c>
      <c r="H2" t="s">
        <v>51</v>
      </c>
    </row>
    <row r="4" spans="1:11" x14ac:dyDescent="0.2">
      <c r="A4" t="s">
        <v>52</v>
      </c>
      <c r="B4" t="s">
        <v>53</v>
      </c>
      <c r="C4" t="s">
        <v>54</v>
      </c>
      <c r="D4" t="s">
        <v>55</v>
      </c>
      <c r="E4" t="s">
        <v>56</v>
      </c>
      <c r="F4" t="s">
        <v>57</v>
      </c>
      <c r="H4" t="s">
        <v>58</v>
      </c>
      <c r="I4" s="5">
        <v>0.48952800000000002</v>
      </c>
    </row>
    <row r="5" spans="1:11" x14ac:dyDescent="0.2">
      <c r="A5">
        <v>1995</v>
      </c>
      <c r="B5" s="5">
        <v>0.53</v>
      </c>
      <c r="C5" s="5">
        <v>0.47</v>
      </c>
      <c r="D5" t="s">
        <v>59</v>
      </c>
      <c r="E5" s="6" t="e">
        <f>D5*C5</f>
        <v>#VALUE!</v>
      </c>
      <c r="F5" s="2" t="e">
        <f>SQRT((C5*B5)/D5)</f>
        <v>#VALUE!</v>
      </c>
      <c r="G5" s="7" t="e">
        <f>F5^2</f>
        <v>#VALUE!</v>
      </c>
      <c r="H5" t="s">
        <v>60</v>
      </c>
      <c r="I5">
        <v>2.5434429999999998E-3</v>
      </c>
    </row>
    <row r="6" spans="1:11" x14ac:dyDescent="0.2">
      <c r="A6">
        <v>1996</v>
      </c>
      <c r="B6">
        <v>0.502</v>
      </c>
      <c r="C6">
        <v>0.498</v>
      </c>
      <c r="D6">
        <v>628</v>
      </c>
      <c r="E6" s="6">
        <f t="shared" ref="E6:E19" si="0">D6*C6</f>
        <v>312.74399999999997</v>
      </c>
      <c r="F6" s="2">
        <f t="shared" ref="F6:F19" si="1">SQRT((C6*B6)/D6)</f>
        <v>1.9952012493675186E-2</v>
      </c>
      <c r="G6" s="7">
        <f t="shared" ref="G6:G19" si="2">F6^2</f>
        <v>3.9808280254777071E-4</v>
      </c>
    </row>
    <row r="7" spans="1:11" x14ac:dyDescent="0.2">
      <c r="A7">
        <v>1997</v>
      </c>
      <c r="B7">
        <v>0.503</v>
      </c>
      <c r="C7">
        <v>0.497</v>
      </c>
      <c r="D7">
        <v>788</v>
      </c>
      <c r="E7" s="6">
        <f t="shared" si="0"/>
        <v>391.63600000000002</v>
      </c>
      <c r="F7" s="2">
        <f t="shared" si="1"/>
        <v>1.7811441882366906E-2</v>
      </c>
      <c r="G7" s="7">
        <f t="shared" si="2"/>
        <v>3.1724746192893395E-4</v>
      </c>
      <c r="I7" t="s">
        <v>61</v>
      </c>
      <c r="J7" t="s">
        <v>62</v>
      </c>
      <c r="K7" t="s">
        <v>63</v>
      </c>
    </row>
    <row r="8" spans="1:11" x14ac:dyDescent="0.2">
      <c r="A8">
        <v>1998</v>
      </c>
      <c r="B8">
        <v>0.53900000000000003</v>
      </c>
      <c r="C8">
        <v>0.46100000000000002</v>
      </c>
      <c r="D8">
        <v>436</v>
      </c>
      <c r="E8" s="6">
        <f t="shared" si="0"/>
        <v>200.99600000000001</v>
      </c>
      <c r="F8" s="2">
        <f t="shared" si="1"/>
        <v>2.3872703309486178E-2</v>
      </c>
      <c r="G8" s="7">
        <f t="shared" si="2"/>
        <v>5.6990596330275234E-4</v>
      </c>
      <c r="H8" t="s">
        <v>64</v>
      </c>
      <c r="I8">
        <v>0.49558560000000001</v>
      </c>
      <c r="J8">
        <v>0.46288289999999999</v>
      </c>
      <c r="K8">
        <v>0.52729729999999997</v>
      </c>
    </row>
    <row r="9" spans="1:11" x14ac:dyDescent="0.2">
      <c r="A9">
        <v>1999</v>
      </c>
      <c r="B9">
        <v>0.48599999999999999</v>
      </c>
      <c r="C9">
        <v>0.51400000000000001</v>
      </c>
      <c r="D9">
        <v>681</v>
      </c>
      <c r="E9" s="6">
        <f t="shared" si="0"/>
        <v>350.03399999999999</v>
      </c>
      <c r="F9" s="2">
        <f t="shared" si="1"/>
        <v>1.9152529421982672E-2</v>
      </c>
      <c r="G9" s="7">
        <f t="shared" si="2"/>
        <v>3.6681938325991192E-4</v>
      </c>
      <c r="H9" t="s">
        <v>65</v>
      </c>
      <c r="I9">
        <v>1.411331E-3</v>
      </c>
      <c r="J9">
        <v>1.411331E-3</v>
      </c>
      <c r="K9">
        <v>3.2130430000000001E-3</v>
      </c>
    </row>
    <row r="10" spans="1:11" x14ac:dyDescent="0.2">
      <c r="A10">
        <v>2000</v>
      </c>
      <c r="B10">
        <v>0.50900000000000001</v>
      </c>
      <c r="C10">
        <v>0.49099999999999999</v>
      </c>
      <c r="D10">
        <v>265</v>
      </c>
      <c r="E10" s="6">
        <f t="shared" si="0"/>
        <v>130.11500000000001</v>
      </c>
      <c r="F10" s="2">
        <f t="shared" si="1"/>
        <v>3.0709779648146873E-2</v>
      </c>
      <c r="G10" s="7">
        <f t="shared" si="2"/>
        <v>9.4309056603773583E-4</v>
      </c>
      <c r="H10" t="s">
        <v>66</v>
      </c>
      <c r="I10">
        <v>1.512141E-3</v>
      </c>
      <c r="J10">
        <v>1.512141E-3</v>
      </c>
      <c r="K10">
        <v>3.4425459999999999E-3</v>
      </c>
    </row>
    <row r="11" spans="1:11" x14ac:dyDescent="0.2">
      <c r="A11">
        <v>2001</v>
      </c>
      <c r="B11">
        <v>0.504</v>
      </c>
      <c r="C11">
        <v>0.496</v>
      </c>
      <c r="D11">
        <v>278</v>
      </c>
      <c r="E11" s="6">
        <f t="shared" si="0"/>
        <v>137.88800000000001</v>
      </c>
      <c r="F11" s="2">
        <f t="shared" si="1"/>
        <v>2.9987047563618762E-2</v>
      </c>
      <c r="G11" s="7">
        <f t="shared" si="2"/>
        <v>8.9922302158273397E-4</v>
      </c>
    </row>
    <row r="12" spans="1:11" x14ac:dyDescent="0.2">
      <c r="A12">
        <v>2002</v>
      </c>
      <c r="B12">
        <v>0.501</v>
      </c>
      <c r="C12">
        <v>0.499</v>
      </c>
      <c r="D12">
        <v>429</v>
      </c>
      <c r="E12" s="6">
        <f t="shared" si="0"/>
        <v>214.071</v>
      </c>
      <c r="F12" s="2">
        <f t="shared" si="1"/>
        <v>2.4140179198760138E-2</v>
      </c>
      <c r="G12" s="7">
        <f t="shared" si="2"/>
        <v>5.8274825174825171E-4</v>
      </c>
    </row>
    <row r="13" spans="1:11" x14ac:dyDescent="0.2">
      <c r="A13">
        <v>2003</v>
      </c>
      <c r="B13">
        <v>0.49299999999999999</v>
      </c>
      <c r="C13">
        <v>0.51700000000000002</v>
      </c>
      <c r="D13">
        <v>205</v>
      </c>
      <c r="E13" s="6">
        <f t="shared" si="0"/>
        <v>105.985</v>
      </c>
      <c r="F13" s="2">
        <f t="shared" si="1"/>
        <v>3.5260770712216609E-2</v>
      </c>
      <c r="G13" s="7">
        <f t="shared" si="2"/>
        <v>1.2433219512195126E-3</v>
      </c>
    </row>
    <row r="14" spans="1:11" x14ac:dyDescent="0.2">
      <c r="A14">
        <v>2004</v>
      </c>
      <c r="B14">
        <v>0.497</v>
      </c>
      <c r="C14">
        <v>0.503</v>
      </c>
      <c r="D14">
        <v>195</v>
      </c>
      <c r="E14" s="6">
        <f t="shared" si="0"/>
        <v>98.084999999999994</v>
      </c>
      <c r="F14" s="2">
        <f t="shared" si="1"/>
        <v>3.5805099192784372E-2</v>
      </c>
      <c r="G14" s="7">
        <f t="shared" si="2"/>
        <v>1.2820051282051281E-3</v>
      </c>
    </row>
    <row r="15" spans="1:11" x14ac:dyDescent="0.2">
      <c r="A15">
        <v>2005</v>
      </c>
      <c r="B15">
        <v>0.43099999999999999</v>
      </c>
      <c r="C15">
        <v>0.56899999999999995</v>
      </c>
      <c r="D15">
        <v>153</v>
      </c>
      <c r="E15" s="6">
        <f t="shared" si="0"/>
        <v>87.056999999999988</v>
      </c>
      <c r="F15" s="2">
        <f t="shared" si="1"/>
        <v>4.0035849947837397E-2</v>
      </c>
      <c r="G15" s="7">
        <f t="shared" si="2"/>
        <v>1.6028692810457518E-3</v>
      </c>
    </row>
    <row r="16" spans="1:11" x14ac:dyDescent="0.2">
      <c r="A16">
        <v>2006</v>
      </c>
      <c r="B16">
        <v>0.66600000000000004</v>
      </c>
      <c r="C16">
        <v>0.51600000000000001</v>
      </c>
      <c r="D16">
        <v>31</v>
      </c>
      <c r="E16" s="6" t="e">
        <f>#REF!*#REF!</f>
        <v>#REF!</v>
      </c>
      <c r="F16" s="2" t="e">
        <f>SQRT((#REF!*B16)/#REF!)</f>
        <v>#REF!</v>
      </c>
      <c r="G16" s="7" t="e">
        <f t="shared" si="2"/>
        <v>#REF!</v>
      </c>
    </row>
    <row r="17" spans="1:11" x14ac:dyDescent="0.2">
      <c r="A17">
        <v>2007</v>
      </c>
      <c r="B17">
        <v>0.48399999999999999</v>
      </c>
      <c r="C17" t="s">
        <v>18</v>
      </c>
      <c r="D17" s="2"/>
      <c r="E17" s="6">
        <f>D16*C16</f>
        <v>15.996</v>
      </c>
      <c r="G17" s="2"/>
    </row>
    <row r="18" spans="1:11" x14ac:dyDescent="0.2">
      <c r="A18">
        <v>2008</v>
      </c>
      <c r="B18">
        <v>0.48599999999999999</v>
      </c>
      <c r="C18">
        <v>0.51400000000000001</v>
      </c>
      <c r="D18">
        <v>35</v>
      </c>
      <c r="E18" s="6">
        <f t="shared" si="0"/>
        <v>17.990000000000002</v>
      </c>
      <c r="F18" s="2">
        <f t="shared" si="1"/>
        <v>8.448228893003043E-2</v>
      </c>
      <c r="G18" s="7">
        <f t="shared" si="2"/>
        <v>7.1372571428571421E-3</v>
      </c>
    </row>
    <row r="19" spans="1:11" x14ac:dyDescent="0.2">
      <c r="A19">
        <v>2009</v>
      </c>
      <c r="B19">
        <v>0.53600000000000003</v>
      </c>
      <c r="C19">
        <v>0.46400000000000002</v>
      </c>
      <c r="D19">
        <v>28</v>
      </c>
      <c r="E19" s="6">
        <f t="shared" si="0"/>
        <v>12.992000000000001</v>
      </c>
      <c r="F19" s="2">
        <f t="shared" si="1"/>
        <v>9.4245879030786892E-2</v>
      </c>
      <c r="G19" s="7">
        <f t="shared" si="2"/>
        <v>8.8822857142857158E-3</v>
      </c>
    </row>
    <row r="20" spans="1:11" x14ac:dyDescent="0.2">
      <c r="C20" t="s">
        <v>67</v>
      </c>
      <c r="D20">
        <f>SUM(D5:D19)</f>
        <v>4152</v>
      </c>
      <c r="G20" s="7"/>
    </row>
    <row r="21" spans="1:11" x14ac:dyDescent="0.2">
      <c r="C21" t="s">
        <v>68</v>
      </c>
      <c r="D21">
        <f>COUNT(D5:D19)</f>
        <v>13</v>
      </c>
    </row>
    <row r="23" spans="1:11" x14ac:dyDescent="0.2">
      <c r="A23" t="s">
        <v>69</v>
      </c>
      <c r="B23" s="5">
        <f>AVERAGE(B5:B19)</f>
        <v>0.51113333333333344</v>
      </c>
      <c r="C23" s="5">
        <f>AVERAGE(C5:C19)</f>
        <v>0.50064285714285728</v>
      </c>
      <c r="E23" s="5"/>
      <c r="H23" t="s">
        <v>70</v>
      </c>
    </row>
    <row r="24" spans="1:11" x14ac:dyDescent="0.2">
      <c r="A24" t="s">
        <v>71</v>
      </c>
      <c r="B24" s="2">
        <f>STDEV(B5:B19)</f>
        <v>4.9994094889391945E-2</v>
      </c>
      <c r="C24" s="2">
        <f>STDEV(C5:C19)</f>
        <v>2.7074277155936834E-2</v>
      </c>
    </row>
    <row r="25" spans="1:11" x14ac:dyDescent="0.2">
      <c r="A25" t="s">
        <v>72</v>
      </c>
      <c r="B25">
        <f>B24/SQRT(SUM(D5:D19))</f>
        <v>7.7587192604118918E-4</v>
      </c>
      <c r="C25" s="3">
        <f>C24/SQRT(D21)</f>
        <v>7.5090534255272002E-3</v>
      </c>
      <c r="I25" t="s">
        <v>61</v>
      </c>
      <c r="J25" t="s">
        <v>62</v>
      </c>
      <c r="K25" t="s">
        <v>63</v>
      </c>
    </row>
    <row r="26" spans="1:11" x14ac:dyDescent="0.2">
      <c r="H26" t="s">
        <v>64</v>
      </c>
      <c r="I26">
        <v>0.4945946</v>
      </c>
      <c r="J26">
        <v>0.46684680000000001</v>
      </c>
      <c r="K26">
        <v>0.5233333</v>
      </c>
    </row>
    <row r="27" spans="1:11" x14ac:dyDescent="0.2">
      <c r="A27" t="s">
        <v>73</v>
      </c>
      <c r="H27" t="s">
        <v>65</v>
      </c>
      <c r="I27">
        <v>1.411331E-3</v>
      </c>
      <c r="J27">
        <v>1.411331E-3</v>
      </c>
      <c r="K27">
        <v>2.6124719999999998E-3</v>
      </c>
    </row>
    <row r="28" spans="1:11" x14ac:dyDescent="0.2">
      <c r="A28" t="s">
        <v>74</v>
      </c>
      <c r="B28" t="s">
        <v>55</v>
      </c>
      <c r="C28" t="s">
        <v>54</v>
      </c>
      <c r="D28" t="s">
        <v>56</v>
      </c>
      <c r="H28" t="s">
        <v>66</v>
      </c>
      <c r="I28">
        <v>1.4943510000000001E-3</v>
      </c>
      <c r="J28">
        <v>1.4943510000000001E-3</v>
      </c>
      <c r="K28">
        <v>2.7661470000000001E-3</v>
      </c>
    </row>
    <row r="29" spans="1:11" x14ac:dyDescent="0.2">
      <c r="A29">
        <v>1991</v>
      </c>
      <c r="B29">
        <v>338</v>
      </c>
      <c r="C29">
        <v>0.48</v>
      </c>
      <c r="D29" s="6">
        <f>B29*C29</f>
        <v>162.23999999999998</v>
      </c>
    </row>
    <row r="30" spans="1:11" x14ac:dyDescent="0.2">
      <c r="A30">
        <v>1992</v>
      </c>
      <c r="B30">
        <v>742</v>
      </c>
      <c r="C30">
        <v>0.49</v>
      </c>
      <c r="D30" s="6">
        <f t="shared" ref="D30:D31" si="3">B30*C30</f>
        <v>363.58</v>
      </c>
    </row>
    <row r="31" spans="1:11" x14ac:dyDescent="0.2">
      <c r="A31">
        <v>1993</v>
      </c>
      <c r="B31">
        <v>564</v>
      </c>
      <c r="C31">
        <v>0.51</v>
      </c>
      <c r="D31" s="6">
        <f t="shared" si="3"/>
        <v>287.64</v>
      </c>
    </row>
  </sheetData>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07172-60BC-4E49-853D-26D894C33291}">
  <sheetPr>
    <tabColor theme="8" tint="0.59999389629810485"/>
  </sheetPr>
  <dimension ref="A1:R44"/>
  <sheetViews>
    <sheetView workbookViewId="0">
      <selection activeCell="D27" sqref="D27"/>
    </sheetView>
  </sheetViews>
  <sheetFormatPr baseColWidth="10" defaultRowHeight="16" x14ac:dyDescent="0.2"/>
  <sheetData>
    <row r="1" spans="1:18" ht="17" thickBot="1" x14ac:dyDescent="0.25">
      <c r="A1" s="67" t="s">
        <v>75</v>
      </c>
      <c r="B1" s="67"/>
      <c r="C1" s="67"/>
      <c r="D1" s="67"/>
      <c r="E1" s="67"/>
      <c r="F1" s="67"/>
      <c r="H1" s="67" t="s">
        <v>76</v>
      </c>
      <c r="I1" s="67"/>
      <c r="J1" s="67"/>
      <c r="K1" s="67"/>
      <c r="L1" s="67"/>
      <c r="M1" s="8"/>
      <c r="N1" s="67" t="s">
        <v>77</v>
      </c>
      <c r="O1" s="67"/>
      <c r="P1" s="67"/>
      <c r="Q1" s="67"/>
      <c r="R1" s="8"/>
    </row>
    <row r="2" spans="1:18" x14ac:dyDescent="0.2">
      <c r="A2" s="8" t="s">
        <v>74</v>
      </c>
      <c r="B2" s="8" t="s">
        <v>78</v>
      </c>
      <c r="C2" s="8" t="s">
        <v>79</v>
      </c>
      <c r="D2" s="8" t="s">
        <v>80</v>
      </c>
      <c r="E2" s="8" t="s">
        <v>81</v>
      </c>
      <c r="F2" s="8" t="s">
        <v>82</v>
      </c>
      <c r="H2" s="8" t="s">
        <v>83</v>
      </c>
      <c r="I2" s="8" t="s">
        <v>84</v>
      </c>
      <c r="J2" s="8" t="s">
        <v>72</v>
      </c>
      <c r="K2" s="8" t="s">
        <v>85</v>
      </c>
      <c r="L2" s="8" t="s">
        <v>86</v>
      </c>
      <c r="N2" s="9" t="s">
        <v>83</v>
      </c>
      <c r="O2" s="10" t="s">
        <v>87</v>
      </c>
      <c r="P2" s="10" t="s">
        <v>84</v>
      </c>
      <c r="Q2" s="11" t="s">
        <v>88</v>
      </c>
    </row>
    <row r="3" spans="1:18" x14ac:dyDescent="0.2">
      <c r="A3">
        <v>1991</v>
      </c>
      <c r="B3">
        <v>43</v>
      </c>
      <c r="C3">
        <v>5</v>
      </c>
      <c r="D3">
        <v>0.11627907</v>
      </c>
      <c r="E3">
        <v>2.3897266999999998E-3</v>
      </c>
      <c r="F3" s="5">
        <f>AVERAGE(D10:D16)</f>
        <v>9.6527035714285711E-2</v>
      </c>
      <c r="H3">
        <v>2.7</v>
      </c>
      <c r="I3" s="5">
        <v>0.76052011450364698</v>
      </c>
      <c r="J3" s="5">
        <v>0.45116767614833703</v>
      </c>
      <c r="K3" s="5">
        <v>0.56740238765510098</v>
      </c>
      <c r="L3" s="5">
        <v>0.88491346416550998</v>
      </c>
      <c r="N3" s="12">
        <v>0.7</v>
      </c>
      <c r="O3" s="13">
        <v>1</v>
      </c>
      <c r="P3" s="13">
        <v>0</v>
      </c>
      <c r="Q3" s="14">
        <v>0</v>
      </c>
    </row>
    <row r="4" spans="1:18" x14ac:dyDescent="0.2">
      <c r="A4">
        <v>1992</v>
      </c>
      <c r="B4">
        <v>160</v>
      </c>
      <c r="C4">
        <v>21</v>
      </c>
      <c r="D4">
        <v>0.13125000000000001</v>
      </c>
      <c r="E4">
        <v>7.126465E-4</v>
      </c>
      <c r="H4">
        <v>3.7</v>
      </c>
      <c r="I4" s="5">
        <v>0.79021628531101495</v>
      </c>
      <c r="J4" s="5">
        <v>0.35067306177875002</v>
      </c>
      <c r="K4" s="5">
        <v>0.65450997301507796</v>
      </c>
      <c r="L4" s="5">
        <v>0.88221098131673803</v>
      </c>
      <c r="N4" s="12">
        <v>1.7</v>
      </c>
      <c r="O4" s="13">
        <v>2</v>
      </c>
      <c r="P4" s="15">
        <v>8.4000000000000005E-2</v>
      </c>
      <c r="Q4" s="16">
        <v>4.1000000000000003E-3</v>
      </c>
    </row>
    <row r="5" spans="1:18" x14ac:dyDescent="0.2">
      <c r="A5">
        <v>1993</v>
      </c>
      <c r="B5">
        <v>179</v>
      </c>
      <c r="C5">
        <v>13</v>
      </c>
      <c r="D5">
        <v>7.2625700000000001E-2</v>
      </c>
      <c r="E5">
        <v>3.7626370000000002E-4</v>
      </c>
      <c r="H5">
        <v>4.7</v>
      </c>
      <c r="I5" s="5">
        <v>0.81906013632608798</v>
      </c>
      <c r="J5" s="5">
        <v>0.30932658270153202</v>
      </c>
      <c r="K5" s="5">
        <v>0.71171414620533002</v>
      </c>
      <c r="L5" s="5">
        <v>0.89247371549363796</v>
      </c>
      <c r="N5" s="12">
        <v>2.7</v>
      </c>
      <c r="O5" s="13">
        <v>3</v>
      </c>
      <c r="P5" s="15">
        <v>0.76100000000000001</v>
      </c>
      <c r="Q5" s="17">
        <v>7.0000000000000001E-3</v>
      </c>
    </row>
    <row r="6" spans="1:18" x14ac:dyDescent="0.2">
      <c r="A6">
        <v>1995</v>
      </c>
      <c r="B6">
        <v>170</v>
      </c>
      <c r="C6">
        <v>20</v>
      </c>
      <c r="D6">
        <v>0.11764706</v>
      </c>
      <c r="E6">
        <v>6.1062490000000002E-4</v>
      </c>
      <c r="H6">
        <v>5.7</v>
      </c>
      <c r="I6" s="5">
        <v>0.84747242875316997</v>
      </c>
      <c r="J6" s="5">
        <v>0.311810691914155</v>
      </c>
      <c r="K6" s="5">
        <v>0.75096679686063605</v>
      </c>
      <c r="L6" s="5">
        <v>0.91101168523475096</v>
      </c>
      <c r="N6" s="12">
        <v>3.7</v>
      </c>
      <c r="O6" s="13">
        <v>4</v>
      </c>
      <c r="P6" s="15">
        <v>0.79</v>
      </c>
      <c r="Q6" s="17">
        <v>5.6899999999999999E-2</v>
      </c>
    </row>
    <row r="7" spans="1:18" x14ac:dyDescent="0.2">
      <c r="A7">
        <v>1997</v>
      </c>
      <c r="B7">
        <v>135</v>
      </c>
      <c r="C7">
        <v>2</v>
      </c>
      <c r="D7">
        <v>1.4814809999999999E-2</v>
      </c>
      <c r="E7">
        <v>1.081136E-4</v>
      </c>
      <c r="H7">
        <v>6.7</v>
      </c>
      <c r="I7" s="5">
        <v>0.87383241713600901</v>
      </c>
      <c r="J7" s="5">
        <v>0.31933523177219397</v>
      </c>
      <c r="K7" s="5">
        <v>0.78741140030492296</v>
      </c>
      <c r="L7" s="5">
        <v>0.92831989285938199</v>
      </c>
      <c r="N7" s="12">
        <v>4.7</v>
      </c>
      <c r="O7" s="13">
        <v>5</v>
      </c>
      <c r="P7" s="15">
        <v>0.81899999999999995</v>
      </c>
      <c r="Q7" s="17">
        <v>4.4499999999999998E-2</v>
      </c>
    </row>
    <row r="8" spans="1:18" x14ac:dyDescent="0.2">
      <c r="A8">
        <v>1998</v>
      </c>
      <c r="B8">
        <v>41</v>
      </c>
      <c r="C8">
        <v>3</v>
      </c>
      <c r="D8">
        <v>7.3170730000000003E-2</v>
      </c>
      <c r="E8">
        <v>1.6540677E-3</v>
      </c>
      <c r="H8">
        <v>7.7</v>
      </c>
      <c r="I8" s="5">
        <v>0.89550043149623904</v>
      </c>
      <c r="J8" s="5">
        <v>0.31804102239920701</v>
      </c>
      <c r="K8" s="5">
        <v>0.82125167692685896</v>
      </c>
      <c r="L8" s="5">
        <v>0.94111886566427905</v>
      </c>
      <c r="N8" s="12">
        <v>5.7</v>
      </c>
      <c r="O8" s="13">
        <v>6</v>
      </c>
      <c r="P8" s="15">
        <v>0.84699999999999998</v>
      </c>
      <c r="Q8" s="17">
        <v>5.2699999999999997E-2</v>
      </c>
    </row>
    <row r="9" spans="1:18" x14ac:dyDescent="0.2">
      <c r="A9">
        <v>1999</v>
      </c>
      <c r="B9">
        <v>90</v>
      </c>
      <c r="C9">
        <v>10</v>
      </c>
      <c r="D9">
        <v>0.11111111</v>
      </c>
      <c r="E9">
        <v>1.0973936999999999E-3</v>
      </c>
      <c r="H9">
        <v>8.6999999999999993</v>
      </c>
      <c r="I9" s="5">
        <v>0.91053355811819103</v>
      </c>
      <c r="J9" s="5">
        <v>0.31556352554980599</v>
      </c>
      <c r="K9" s="5">
        <v>0.84575324333707802</v>
      </c>
      <c r="L9" s="5">
        <v>0.94972479769036999</v>
      </c>
      <c r="N9" s="12">
        <v>6.7</v>
      </c>
      <c r="O9" s="13">
        <v>7</v>
      </c>
      <c r="P9" s="15">
        <v>0.874</v>
      </c>
      <c r="Q9" s="17">
        <v>1.7600000000000001E-2</v>
      </c>
    </row>
    <row r="10" spans="1:18" x14ac:dyDescent="0.2">
      <c r="A10">
        <v>2000</v>
      </c>
      <c r="B10">
        <v>58</v>
      </c>
      <c r="C10">
        <v>8</v>
      </c>
      <c r="D10" s="2">
        <v>0.13793103000000001</v>
      </c>
      <c r="E10" s="3">
        <v>2.0501045999999998E-3</v>
      </c>
      <c r="H10">
        <v>9.6999999999999993</v>
      </c>
      <c r="I10" s="5">
        <v>0.91800729149470905</v>
      </c>
      <c r="J10" s="5">
        <v>0.31823148155532199</v>
      </c>
      <c r="K10" s="5">
        <v>0.857154281120591</v>
      </c>
      <c r="L10" s="5">
        <v>0.95431820277517698</v>
      </c>
      <c r="N10" s="12">
        <v>7.7</v>
      </c>
      <c r="O10" s="13">
        <v>8</v>
      </c>
      <c r="P10" s="15">
        <v>0.89600000000000002</v>
      </c>
      <c r="Q10" s="17">
        <v>4.9399999999999999E-2</v>
      </c>
    </row>
    <row r="11" spans="1:18" x14ac:dyDescent="0.2">
      <c r="A11">
        <v>2001</v>
      </c>
      <c r="B11">
        <v>71</v>
      </c>
      <c r="C11">
        <v>7</v>
      </c>
      <c r="D11" s="2">
        <v>9.859155E-2</v>
      </c>
      <c r="E11" s="3">
        <v>1.2517078E-3</v>
      </c>
      <c r="H11">
        <v>10.7</v>
      </c>
      <c r="I11" s="5">
        <v>0.91740794712255203</v>
      </c>
      <c r="J11" s="5">
        <v>0.32051293141167198</v>
      </c>
      <c r="K11" s="5">
        <v>0.85562831851488497</v>
      </c>
      <c r="L11" s="5">
        <v>0.95416692260746006</v>
      </c>
      <c r="N11" s="12">
        <v>8.6999999999999993</v>
      </c>
      <c r="O11" s="13">
        <v>9</v>
      </c>
      <c r="P11" s="15">
        <v>0.91100000000000003</v>
      </c>
      <c r="Q11" s="17">
        <v>4.5199999999999997E-2</v>
      </c>
    </row>
    <row r="12" spans="1:18" x14ac:dyDescent="0.2">
      <c r="A12">
        <v>2002</v>
      </c>
      <c r="B12">
        <v>80</v>
      </c>
      <c r="C12">
        <v>9</v>
      </c>
      <c r="D12" s="2">
        <v>0.1125</v>
      </c>
      <c r="E12" s="3">
        <v>1.2480468999999999E-3</v>
      </c>
      <c r="H12">
        <v>11.7</v>
      </c>
      <c r="I12" s="5">
        <v>0.90772139894780501</v>
      </c>
      <c r="J12" s="5">
        <v>0.315402831223978</v>
      </c>
      <c r="K12" s="5">
        <v>0.84130191618087802</v>
      </c>
      <c r="L12" s="5">
        <v>0.94805876072912598</v>
      </c>
      <c r="N12" s="12">
        <v>9.6999999999999993</v>
      </c>
      <c r="O12" s="13">
        <v>10</v>
      </c>
      <c r="P12" s="15">
        <v>0.91800000000000004</v>
      </c>
      <c r="Q12" s="17">
        <v>4.87E-2</v>
      </c>
    </row>
    <row r="13" spans="1:18" x14ac:dyDescent="0.2">
      <c r="A13">
        <v>2003</v>
      </c>
      <c r="B13">
        <v>19</v>
      </c>
      <c r="C13">
        <v>0</v>
      </c>
      <c r="D13" s="2">
        <v>0</v>
      </c>
      <c r="E13" s="3">
        <v>0</v>
      </c>
      <c r="H13">
        <v>12.7</v>
      </c>
      <c r="I13" s="5">
        <v>0.88688703441135797</v>
      </c>
      <c r="J13" s="5">
        <v>0.305299283064702</v>
      </c>
      <c r="K13" s="5">
        <v>0.81167869657178704</v>
      </c>
      <c r="L13" s="5">
        <v>0.93448437248942695</v>
      </c>
      <c r="N13" s="12">
        <v>10.7</v>
      </c>
      <c r="O13" s="13">
        <v>11</v>
      </c>
      <c r="P13" s="15">
        <v>0.91700000000000004</v>
      </c>
      <c r="Q13" s="17">
        <v>3.6200000000000003E-2</v>
      </c>
    </row>
    <row r="14" spans="1:18" x14ac:dyDescent="0.2">
      <c r="A14">
        <v>2004</v>
      </c>
      <c r="B14">
        <v>25</v>
      </c>
      <c r="C14">
        <v>4</v>
      </c>
      <c r="D14" s="2">
        <v>0.16</v>
      </c>
      <c r="E14" s="3">
        <v>5.3759999999999997E-3</v>
      </c>
      <c r="H14">
        <v>13.7</v>
      </c>
      <c r="I14" s="5">
        <v>0.85222646537950597</v>
      </c>
      <c r="J14" s="5">
        <v>0.29862217569843802</v>
      </c>
      <c r="K14" s="5">
        <v>0.76258107903651795</v>
      </c>
      <c r="L14" s="5">
        <v>0.911932312604953</v>
      </c>
      <c r="N14" s="12">
        <v>11.7</v>
      </c>
      <c r="O14" s="13">
        <v>12</v>
      </c>
      <c r="P14" s="15">
        <v>0.90800000000000003</v>
      </c>
      <c r="Q14" s="17">
        <v>1.6E-2</v>
      </c>
    </row>
    <row r="15" spans="1:18" x14ac:dyDescent="0.2">
      <c r="A15">
        <v>2005</v>
      </c>
      <c r="B15">
        <v>18</v>
      </c>
      <c r="C15">
        <v>3</v>
      </c>
      <c r="D15" s="2">
        <v>0.16666666999999999</v>
      </c>
      <c r="E15" s="3">
        <v>7.7160494000000001E-3</v>
      </c>
      <c r="H15">
        <v>14.7</v>
      </c>
      <c r="I15" s="5">
        <v>0.80218620321477996</v>
      </c>
      <c r="J15" s="5">
        <v>0.29734826633275901</v>
      </c>
      <c r="K15" s="5">
        <v>0.69364647723808304</v>
      </c>
      <c r="L15" s="5">
        <v>0.87898001662964798</v>
      </c>
      <c r="N15" s="12">
        <v>12.7</v>
      </c>
      <c r="O15" s="13">
        <v>13</v>
      </c>
      <c r="P15" s="15">
        <v>0.88700000000000001</v>
      </c>
      <c r="Q15" s="17">
        <v>5.5599999999999997E-2</v>
      </c>
    </row>
    <row r="16" spans="1:18" x14ac:dyDescent="0.2">
      <c r="A16">
        <v>2006</v>
      </c>
      <c r="B16">
        <v>7</v>
      </c>
      <c r="C16">
        <v>0</v>
      </c>
      <c r="D16" s="2">
        <v>0</v>
      </c>
      <c r="E16" s="3">
        <v>0</v>
      </c>
      <c r="H16">
        <v>15.7</v>
      </c>
      <c r="I16" s="5">
        <v>0.73851406709567402</v>
      </c>
      <c r="J16" s="5">
        <v>0.29670046029521602</v>
      </c>
      <c r="K16" s="5">
        <v>0.61223992271543504</v>
      </c>
      <c r="L16" s="5">
        <v>0.83476504594682799</v>
      </c>
      <c r="N16" s="12">
        <v>13.7</v>
      </c>
      <c r="O16" s="13">
        <v>14</v>
      </c>
      <c r="P16" s="15">
        <v>0.85199999999999998</v>
      </c>
      <c r="Q16" s="17">
        <v>4.0099999999999997E-2</v>
      </c>
    </row>
    <row r="17" spans="1:17" x14ac:dyDescent="0.2">
      <c r="A17">
        <v>2008</v>
      </c>
      <c r="B17">
        <v>3</v>
      </c>
      <c r="C17" t="s">
        <v>18</v>
      </c>
      <c r="E17" s="3">
        <v>0</v>
      </c>
      <c r="H17">
        <v>16.7</v>
      </c>
      <c r="I17" s="5">
        <v>0.66637325074331799</v>
      </c>
      <c r="J17" s="5">
        <v>0.30616215661634999</v>
      </c>
      <c r="K17" s="5">
        <v>0.52292399205046403</v>
      </c>
      <c r="L17" s="5">
        <v>0.78446757882320395</v>
      </c>
      <c r="N17" s="12">
        <v>14.7</v>
      </c>
      <c r="O17" s="13">
        <v>15</v>
      </c>
      <c r="P17" s="15">
        <v>0.80200000000000005</v>
      </c>
      <c r="Q17" s="17">
        <v>5.5100000000000003E-2</v>
      </c>
    </row>
    <row r="18" spans="1:17" x14ac:dyDescent="0.2">
      <c r="B18">
        <f>SUM(B10:B17)</f>
        <v>281</v>
      </c>
      <c r="D18" s="5"/>
      <c r="E18" s="5"/>
      <c r="F18" s="5"/>
      <c r="H18">
        <v>17.7</v>
      </c>
      <c r="I18" s="5">
        <v>0.591405419962451</v>
      </c>
      <c r="J18" s="5">
        <v>0.35645050187504601</v>
      </c>
      <c r="K18" s="5">
        <v>0.41852002616739598</v>
      </c>
      <c r="L18" s="5">
        <v>0.74429413880533701</v>
      </c>
      <c r="N18" s="12">
        <v>15.7</v>
      </c>
      <c r="O18" s="13">
        <v>16</v>
      </c>
      <c r="P18" s="15">
        <v>0.73899999999999999</v>
      </c>
      <c r="Q18" s="17">
        <v>9.7999999999999997E-3</v>
      </c>
    </row>
    <row r="19" spans="1:17" x14ac:dyDescent="0.2">
      <c r="H19">
        <v>18.7</v>
      </c>
      <c r="I19" s="5">
        <v>0.51720758064627603</v>
      </c>
      <c r="J19" s="5">
        <v>0.46364660319736201</v>
      </c>
      <c r="K19" s="5">
        <v>0.301561505459714</v>
      </c>
      <c r="L19" s="5">
        <v>0.726629392528225</v>
      </c>
      <c r="N19" s="12">
        <v>16.7</v>
      </c>
      <c r="O19" s="13">
        <v>17</v>
      </c>
      <c r="P19" s="15">
        <v>0.66600000000000004</v>
      </c>
      <c r="Q19" s="17">
        <v>5.3100000000000001E-2</v>
      </c>
    </row>
    <row r="20" spans="1:17" x14ac:dyDescent="0.2">
      <c r="A20" t="s">
        <v>89</v>
      </c>
      <c r="D20" t="s">
        <v>90</v>
      </c>
      <c r="E20" t="s">
        <v>91</v>
      </c>
      <c r="F20" t="s">
        <v>92</v>
      </c>
      <c r="H20">
        <v>19.7</v>
      </c>
      <c r="I20" s="5">
        <v>0.44487115323752202</v>
      </c>
      <c r="J20" s="5">
        <v>0.61171190001141196</v>
      </c>
      <c r="K20" s="5">
        <v>0.194606902448722</v>
      </c>
      <c r="L20" s="5">
        <v>0.72661540547680903</v>
      </c>
      <c r="N20" s="12">
        <v>17.7</v>
      </c>
      <c r="O20" s="13">
        <v>18</v>
      </c>
      <c r="P20" s="15">
        <v>0.59099999999999997</v>
      </c>
      <c r="Q20" s="17">
        <v>4.4400000000000002E-2</v>
      </c>
    </row>
    <row r="21" spans="1:17" x14ac:dyDescent="0.2">
      <c r="A21" t="s">
        <v>72</v>
      </c>
      <c r="B21" s="5">
        <f>STDEV(D10:D16)/SQRT(COUNT(E10:E17))</f>
        <v>2.4814734908015241E-2</v>
      </c>
      <c r="D21" s="2">
        <v>4.1254129999999996E-3</v>
      </c>
      <c r="E21" s="2">
        <v>1.60016E-3</v>
      </c>
      <c r="F21" s="2">
        <v>2.0327029999999999E-2</v>
      </c>
      <c r="H21">
        <v>20.7</v>
      </c>
      <c r="I21" s="5">
        <v>0.37519802400866797</v>
      </c>
      <c r="J21" s="5">
        <v>0.77858577172760401</v>
      </c>
      <c r="K21" s="5">
        <v>0.11547661786231</v>
      </c>
      <c r="L21" s="5">
        <v>0.73419647482332695</v>
      </c>
      <c r="N21" s="12">
        <v>18.7</v>
      </c>
      <c r="O21" s="13">
        <v>19</v>
      </c>
      <c r="P21" s="15">
        <v>0.51700000000000002</v>
      </c>
      <c r="Q21" s="17">
        <v>5.0799999999999998E-2</v>
      </c>
    </row>
    <row r="22" spans="1:17" x14ac:dyDescent="0.2">
      <c r="A22" t="s">
        <v>93</v>
      </c>
      <c r="B22" s="5">
        <f>F3-1.96*B21</f>
        <v>4.789015529457584E-2</v>
      </c>
      <c r="N22" s="12">
        <v>19.7</v>
      </c>
      <c r="O22" s="13">
        <v>20</v>
      </c>
      <c r="P22" s="15">
        <v>0.44500000000000001</v>
      </c>
      <c r="Q22" s="17">
        <v>2.58E-2</v>
      </c>
    </row>
    <row r="23" spans="1:17" ht="17" thickBot="1" x14ac:dyDescent="0.25">
      <c r="A23" t="s">
        <v>94</v>
      </c>
      <c r="B23" s="5">
        <f>F3+1.96*B21</f>
        <v>0.1451639161339956</v>
      </c>
      <c r="N23" s="18">
        <v>20.7</v>
      </c>
      <c r="O23" s="19">
        <v>21</v>
      </c>
      <c r="P23" s="20">
        <v>0.375</v>
      </c>
      <c r="Q23" s="21">
        <v>3.2899999999999999E-2</v>
      </c>
    </row>
    <row r="24" spans="1:17" x14ac:dyDescent="0.2">
      <c r="H24" s="8" t="s">
        <v>95</v>
      </c>
    </row>
    <row r="25" spans="1:17" x14ac:dyDescent="0.2">
      <c r="H25" t="s">
        <v>83</v>
      </c>
      <c r="I25" s="22" t="s">
        <v>96</v>
      </c>
      <c r="J25" s="22" t="s">
        <v>91</v>
      </c>
      <c r="K25" s="22" t="s">
        <v>92</v>
      </c>
    </row>
    <row r="26" spans="1:17" x14ac:dyDescent="0.2">
      <c r="H26">
        <v>2.7</v>
      </c>
      <c r="I26" s="23">
        <v>7.0007000000000003E-3</v>
      </c>
      <c r="J26" s="23">
        <v>2.8502850000000001E-3</v>
      </c>
      <c r="K26" s="23">
        <v>2.0677069999999999E-2</v>
      </c>
    </row>
    <row r="27" spans="1:17" x14ac:dyDescent="0.2">
      <c r="H27">
        <v>3.7</v>
      </c>
      <c r="I27" s="23">
        <v>5.6905690000000002E-2</v>
      </c>
      <c r="J27" s="23">
        <v>2.7377737999999999E-2</v>
      </c>
      <c r="K27" s="23">
        <v>0.14641464000000001</v>
      </c>
    </row>
    <row r="28" spans="1:17" x14ac:dyDescent="0.2">
      <c r="H28">
        <v>4.7</v>
      </c>
      <c r="I28" s="23">
        <v>4.4479449999999997E-2</v>
      </c>
      <c r="J28" s="23">
        <v>2.0827083E-2</v>
      </c>
      <c r="K28" s="23">
        <v>0.11676168000000001</v>
      </c>
    </row>
    <row r="29" spans="1:17" x14ac:dyDescent="0.2">
      <c r="H29">
        <v>5.7</v>
      </c>
      <c r="I29" s="23">
        <v>5.2730270000000003E-2</v>
      </c>
      <c r="J29" s="23">
        <v>2.5527553000000001E-2</v>
      </c>
      <c r="K29" s="23">
        <v>0.13543854</v>
      </c>
    </row>
    <row r="30" spans="1:17" x14ac:dyDescent="0.2">
      <c r="H30">
        <v>6.7</v>
      </c>
      <c r="I30" s="23">
        <v>1.755176E-2</v>
      </c>
      <c r="J30" s="23">
        <v>7.4757479999999999E-3</v>
      </c>
      <c r="K30" s="23">
        <v>4.9629960000000001E-2</v>
      </c>
    </row>
    <row r="31" spans="1:17" x14ac:dyDescent="0.2">
      <c r="H31">
        <v>7.7</v>
      </c>
      <c r="I31" s="23">
        <v>4.9404940000000001E-2</v>
      </c>
      <c r="J31" s="23">
        <v>2.240224E-2</v>
      </c>
      <c r="K31" s="23">
        <v>0.13168816999999999</v>
      </c>
    </row>
    <row r="32" spans="1:17" x14ac:dyDescent="0.2">
      <c r="H32">
        <v>8.6999999999999993</v>
      </c>
      <c r="I32" s="23">
        <v>4.5204519999999998E-2</v>
      </c>
      <c r="J32" s="23">
        <v>2.1227123000000001E-2</v>
      </c>
      <c r="K32" s="23">
        <v>0.11891189000000001</v>
      </c>
    </row>
    <row r="33" spans="8:11" x14ac:dyDescent="0.2">
      <c r="H33">
        <v>9.6999999999999993</v>
      </c>
      <c r="I33" s="23">
        <v>4.8704869999999997E-2</v>
      </c>
      <c r="J33" s="23">
        <v>2.3102310000000001E-2</v>
      </c>
      <c r="K33" s="23">
        <v>0.12656265999999999</v>
      </c>
    </row>
    <row r="34" spans="8:11" x14ac:dyDescent="0.2">
      <c r="H34">
        <v>10.7</v>
      </c>
      <c r="I34" s="23">
        <v>3.6178620000000002E-2</v>
      </c>
      <c r="J34" s="23">
        <v>1.6351635E-2</v>
      </c>
      <c r="K34" s="23">
        <v>9.8484849999999999E-2</v>
      </c>
    </row>
    <row r="35" spans="8:11" x14ac:dyDescent="0.2">
      <c r="H35">
        <v>11.7</v>
      </c>
      <c r="I35" s="23">
        <v>1.6026599999999998E-2</v>
      </c>
      <c r="J35" s="23">
        <v>5.9005899999999998E-3</v>
      </c>
      <c r="K35" s="23">
        <v>5.313031E-2</v>
      </c>
    </row>
    <row r="36" spans="8:11" x14ac:dyDescent="0.2">
      <c r="H36">
        <v>12.7</v>
      </c>
      <c r="I36" s="23">
        <v>5.5605559999999998E-2</v>
      </c>
      <c r="J36" s="23">
        <v>2.6827683000000001E-2</v>
      </c>
      <c r="K36" s="23">
        <v>0.14306431</v>
      </c>
    </row>
    <row r="37" spans="8:11" x14ac:dyDescent="0.2">
      <c r="H37">
        <v>13.7</v>
      </c>
      <c r="I37" s="23">
        <v>4.0104010000000002E-2</v>
      </c>
      <c r="J37" s="23">
        <v>1.8226823E-2</v>
      </c>
      <c r="K37" s="23">
        <v>0.10806080999999999</v>
      </c>
    </row>
    <row r="38" spans="8:11" x14ac:dyDescent="0.2">
      <c r="H38">
        <v>14.7</v>
      </c>
      <c r="I38" s="23">
        <v>5.5055510000000002E-2</v>
      </c>
      <c r="J38" s="23">
        <v>2.6652664999999999E-2</v>
      </c>
      <c r="K38" s="23">
        <v>0.14141413999999999</v>
      </c>
    </row>
    <row r="39" spans="8:11" x14ac:dyDescent="0.2">
      <c r="H39">
        <v>15.7</v>
      </c>
      <c r="I39" s="23">
        <v>9.8009800000000008E-3</v>
      </c>
      <c r="J39" s="23">
        <v>4.0004000000000003E-3</v>
      </c>
      <c r="K39" s="23">
        <v>2.865287E-2</v>
      </c>
    </row>
    <row r="40" spans="8:11" x14ac:dyDescent="0.2">
      <c r="H40">
        <v>16.7</v>
      </c>
      <c r="I40" s="23">
        <v>5.313031E-2</v>
      </c>
      <c r="J40" s="23">
        <v>2.4827483000000001E-2</v>
      </c>
      <c r="K40" s="23">
        <v>0.13928893000000001</v>
      </c>
    </row>
    <row r="41" spans="8:11" x14ac:dyDescent="0.2">
      <c r="H41">
        <v>17.7</v>
      </c>
      <c r="I41" s="23">
        <v>4.4429440000000001E-2</v>
      </c>
      <c r="J41" s="23">
        <v>2.0777078000000001E-2</v>
      </c>
      <c r="K41" s="23">
        <v>0.11678668</v>
      </c>
    </row>
    <row r="42" spans="8:11" x14ac:dyDescent="0.2">
      <c r="H42">
        <v>18.7</v>
      </c>
      <c r="I42" s="23">
        <v>5.0805080000000002E-2</v>
      </c>
      <c r="J42" s="23">
        <v>2.4402440000000001E-2</v>
      </c>
      <c r="K42" s="23">
        <v>0.13091309000000001</v>
      </c>
    </row>
    <row r="43" spans="8:11" x14ac:dyDescent="0.2">
      <c r="H43">
        <v>19.7</v>
      </c>
      <c r="I43" s="23">
        <v>2.5777580000000001E-2</v>
      </c>
      <c r="J43" s="23">
        <v>1.1226122999999999E-2</v>
      </c>
      <c r="K43" s="23">
        <v>7.2107210000000005E-2</v>
      </c>
    </row>
    <row r="44" spans="8:11" x14ac:dyDescent="0.2">
      <c r="H44">
        <v>20.7</v>
      </c>
      <c r="I44" s="23">
        <v>3.2903290000000002E-2</v>
      </c>
      <c r="J44" s="23">
        <v>1.3276328E-2</v>
      </c>
      <c r="K44" s="23">
        <v>9.5659569999999999E-2</v>
      </c>
    </row>
  </sheetData>
  <mergeCells count="3">
    <mergeCell ref="A1:F1"/>
    <mergeCell ref="H1:L1"/>
    <mergeCell ref="N1:Q1"/>
  </mergeCell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1266F-8828-6447-87B0-61E8F7652096}">
  <sheetPr>
    <tabColor theme="8" tint="0.59999389629810485"/>
  </sheetPr>
  <dimension ref="A1:P29"/>
  <sheetViews>
    <sheetView workbookViewId="0">
      <selection activeCell="D27" sqref="D27"/>
    </sheetView>
  </sheetViews>
  <sheetFormatPr baseColWidth="10" defaultRowHeight="16" x14ac:dyDescent="0.2"/>
  <cols>
    <col min="1" max="1" width="9.83203125" bestFit="1" customWidth="1"/>
    <col min="2" max="2" width="5.1640625" bestFit="1" customWidth="1"/>
    <col min="3" max="3" width="16.6640625" bestFit="1" customWidth="1"/>
    <col min="4" max="4" width="13" bestFit="1" customWidth="1"/>
    <col min="5" max="5" width="20.33203125" bestFit="1" customWidth="1"/>
    <col min="6" max="6" width="11.83203125" bestFit="1" customWidth="1"/>
    <col min="8" max="8" width="15" bestFit="1" customWidth="1"/>
    <col min="11" max="11" width="21.5" bestFit="1" customWidth="1"/>
    <col min="12" max="12" width="7.33203125" bestFit="1" customWidth="1"/>
    <col min="13" max="13" width="14" bestFit="1" customWidth="1"/>
    <col min="14" max="14" width="11" bestFit="1" customWidth="1"/>
    <col min="15" max="15" width="14.83203125" bestFit="1" customWidth="1"/>
    <col min="16" max="16" width="6.1640625" bestFit="1" customWidth="1"/>
  </cols>
  <sheetData>
    <row r="1" spans="1:16" x14ac:dyDescent="0.2">
      <c r="A1" s="68" t="s">
        <v>106</v>
      </c>
      <c r="B1" s="68"/>
      <c r="C1" s="68"/>
      <c r="D1" s="68"/>
      <c r="E1" s="68"/>
      <c r="F1" s="68"/>
      <c r="G1" s="68"/>
      <c r="H1" s="68"/>
      <c r="I1" s="68"/>
      <c r="J1" s="68"/>
      <c r="K1" s="68"/>
      <c r="L1" s="68"/>
      <c r="M1" s="68"/>
      <c r="N1" s="68"/>
      <c r="O1" s="68"/>
      <c r="P1" s="68"/>
    </row>
    <row r="2" spans="1:16" x14ac:dyDescent="0.2">
      <c r="A2" s="68"/>
      <c r="B2" s="68"/>
      <c r="C2" s="68"/>
      <c r="D2" s="68"/>
      <c r="E2" s="68"/>
      <c r="F2" s="68"/>
      <c r="G2" s="68"/>
      <c r="H2" s="68"/>
      <c r="I2" s="68"/>
      <c r="J2" s="68"/>
      <c r="K2" s="68"/>
      <c r="L2" s="68"/>
      <c r="M2" s="68"/>
      <c r="N2" s="68"/>
      <c r="O2" s="68"/>
      <c r="P2" s="68"/>
    </row>
    <row r="3" spans="1:16" x14ac:dyDescent="0.2">
      <c r="A3" t="s">
        <v>107</v>
      </c>
      <c r="B3" t="s">
        <v>74</v>
      </c>
      <c r="C3" t="s">
        <v>108</v>
      </c>
      <c r="D3" t="s">
        <v>109</v>
      </c>
      <c r="E3" t="s">
        <v>110</v>
      </c>
      <c r="F3" t="s">
        <v>111</v>
      </c>
      <c r="H3" s="26" t="s">
        <v>112</v>
      </c>
      <c r="K3" s="26" t="s">
        <v>113</v>
      </c>
      <c r="L3" s="26"/>
    </row>
    <row r="4" spans="1:16" x14ac:dyDescent="0.2">
      <c r="A4" s="27" t="s">
        <v>114</v>
      </c>
      <c r="B4">
        <v>1995</v>
      </c>
      <c r="C4" s="28">
        <v>20931.702066666701</v>
      </c>
      <c r="D4" s="5">
        <v>0.57791309161361748</v>
      </c>
      <c r="E4" s="6">
        <f>C4*D4</f>
        <v>12096.704654082499</v>
      </c>
      <c r="F4" s="6">
        <v>1501.0000000000005</v>
      </c>
      <c r="H4" s="6">
        <f>E4-F4</f>
        <v>10595.704654082499</v>
      </c>
      <c r="K4" t="s">
        <v>83</v>
      </c>
      <c r="L4" t="s">
        <v>115</v>
      </c>
      <c r="M4" t="s">
        <v>116</v>
      </c>
      <c r="N4" t="s">
        <v>117</v>
      </c>
      <c r="O4" t="s">
        <v>118</v>
      </c>
    </row>
    <row r="5" spans="1:16" x14ac:dyDescent="0.2">
      <c r="A5" s="27" t="s">
        <v>119</v>
      </c>
      <c r="B5">
        <f>B4+1</f>
        <v>1996</v>
      </c>
      <c r="C5" s="28">
        <v>20022.749666666699</v>
      </c>
      <c r="D5" s="5">
        <v>0.61348853132488879</v>
      </c>
      <c r="E5" s="6">
        <f t="shared" ref="E5:E29" si="0">C5*D5</f>
        <v>12283.727286089259</v>
      </c>
      <c r="F5" s="6">
        <v>1094.6936829558999</v>
      </c>
      <c r="H5" s="6">
        <f t="shared" ref="H5:H29" si="1">E5-F5</f>
        <v>11189.033603133359</v>
      </c>
      <c r="J5" s="5"/>
      <c r="K5">
        <v>1</v>
      </c>
      <c r="L5" s="5">
        <v>0.15036231884057971</v>
      </c>
      <c r="M5" s="29">
        <f t="shared" ref="M5:M24" si="2">E$4*L5</f>
        <v>1818.8885621174772</v>
      </c>
      <c r="N5" s="6">
        <v>195.13</v>
      </c>
      <c r="O5" s="29">
        <f>M5-N5</f>
        <v>1623.7585621174771</v>
      </c>
      <c r="P5" s="6">
        <v>1623.7585621174771</v>
      </c>
    </row>
    <row r="6" spans="1:16" x14ac:dyDescent="0.2">
      <c r="A6" s="27" t="s">
        <v>120</v>
      </c>
      <c r="B6">
        <f t="shared" ref="B6:B25" si="3">B5+1</f>
        <v>1997</v>
      </c>
      <c r="C6" s="28">
        <v>19175.643333333301</v>
      </c>
      <c r="D6" s="5">
        <f>AVERAGE(D5,D7)</f>
        <v>0.57347220683891498</v>
      </c>
      <c r="E6" s="6">
        <f t="shared" si="0"/>
        <v>10996.698499922575</v>
      </c>
      <c r="F6" s="6">
        <v>1904.7721962616829</v>
      </c>
      <c r="H6" s="6">
        <f t="shared" si="1"/>
        <v>9091.9263036608918</v>
      </c>
      <c r="J6" s="5"/>
      <c r="K6">
        <v>2</v>
      </c>
      <c r="L6" s="5">
        <v>0.14402173913043478</v>
      </c>
      <c r="M6" s="29">
        <f t="shared" si="2"/>
        <v>1742.188442028186</v>
      </c>
      <c r="N6" s="6">
        <v>285.19000000000005</v>
      </c>
      <c r="O6" s="29">
        <f t="shared" ref="O6:O24" si="4">M6-N6</f>
        <v>1456.998442028186</v>
      </c>
      <c r="P6" s="6">
        <v>1456.998442028186</v>
      </c>
    </row>
    <row r="7" spans="1:16" x14ac:dyDescent="0.2">
      <c r="A7" s="27" t="s">
        <v>121</v>
      </c>
      <c r="B7">
        <f t="shared" si="3"/>
        <v>1998</v>
      </c>
      <c r="C7" s="28">
        <v>17399.660133333298</v>
      </c>
      <c r="D7" s="5">
        <v>0.53345588235294117</v>
      </c>
      <c r="E7" s="6">
        <f t="shared" si="0"/>
        <v>9281.951049068608</v>
      </c>
      <c r="F7" s="6">
        <v>1013.9999999999999</v>
      </c>
      <c r="H7" s="6">
        <f t="shared" si="1"/>
        <v>8267.951049068608</v>
      </c>
      <c r="J7" s="5"/>
      <c r="K7">
        <v>3</v>
      </c>
      <c r="L7" s="5">
        <v>0.13894927536231885</v>
      </c>
      <c r="M7" s="29">
        <f t="shared" si="2"/>
        <v>1680.8283459567533</v>
      </c>
      <c r="N7" s="6">
        <v>190.12666666666667</v>
      </c>
      <c r="O7" s="29">
        <f t="shared" si="4"/>
        <v>1490.7016792900868</v>
      </c>
      <c r="P7" s="6">
        <v>1490.7016792900868</v>
      </c>
    </row>
    <row r="8" spans="1:16" x14ac:dyDescent="0.2">
      <c r="A8" s="27" t="s">
        <v>122</v>
      </c>
      <c r="B8">
        <f t="shared" si="3"/>
        <v>1999</v>
      </c>
      <c r="C8" s="28">
        <v>16173.4521333333</v>
      </c>
      <c r="D8" s="5">
        <v>0.54130702836004929</v>
      </c>
      <c r="E8" s="6">
        <f t="shared" si="0"/>
        <v>8754.803312618149</v>
      </c>
      <c r="F8" s="6">
        <v>1302.585568917669</v>
      </c>
      <c r="H8" s="6">
        <f t="shared" si="1"/>
        <v>7452.2177437004802</v>
      </c>
      <c r="J8" s="5"/>
      <c r="K8">
        <v>4</v>
      </c>
      <c r="L8" s="5">
        <v>0.12282608695652174</v>
      </c>
      <c r="M8" s="29">
        <f t="shared" si="2"/>
        <v>1485.7908977296984</v>
      </c>
      <c r="N8" s="6">
        <v>190.12666666666667</v>
      </c>
      <c r="O8" s="29">
        <f t="shared" si="4"/>
        <v>1295.6642310630318</v>
      </c>
      <c r="P8" s="6">
        <v>1295.6642310630318</v>
      </c>
    </row>
    <row r="9" spans="1:16" x14ac:dyDescent="0.2">
      <c r="A9" s="27" t="s">
        <v>123</v>
      </c>
      <c r="B9">
        <f t="shared" si="3"/>
        <v>2000</v>
      </c>
      <c r="C9" s="28">
        <v>15315.8561333333</v>
      </c>
      <c r="D9" s="5">
        <v>0.6838770985112449</v>
      </c>
      <c r="E9" s="6">
        <f t="shared" si="0"/>
        <v>10474.163253679631</v>
      </c>
      <c r="F9" s="6">
        <v>742.99999999999989</v>
      </c>
      <c r="H9" s="6">
        <f t="shared" si="1"/>
        <v>9731.1632536796315</v>
      </c>
      <c r="J9" s="5"/>
      <c r="K9">
        <v>5</v>
      </c>
      <c r="L9" s="5">
        <v>7.5905797101449277E-2</v>
      </c>
      <c r="M9" s="29">
        <f t="shared" si="2"/>
        <v>918.21000906894335</v>
      </c>
      <c r="N9" s="6">
        <v>190.12666666666667</v>
      </c>
      <c r="O9" s="29">
        <f t="shared" si="4"/>
        <v>728.08334240227668</v>
      </c>
      <c r="P9" s="6">
        <v>728.08334240227668</v>
      </c>
    </row>
    <row r="10" spans="1:16" x14ac:dyDescent="0.2">
      <c r="A10" s="27" t="s">
        <v>124</v>
      </c>
      <c r="B10">
        <f t="shared" si="3"/>
        <v>2001</v>
      </c>
      <c r="C10" s="28">
        <v>14173.346</v>
      </c>
      <c r="D10" s="5">
        <v>0.52862493311931513</v>
      </c>
      <c r="E10" s="6">
        <f t="shared" si="0"/>
        <v>7492.3840813269126</v>
      </c>
      <c r="F10" s="6">
        <v>937</v>
      </c>
      <c r="H10" s="6">
        <f t="shared" si="1"/>
        <v>6555.3840813269126</v>
      </c>
      <c r="J10" s="5"/>
      <c r="K10">
        <v>6</v>
      </c>
      <c r="L10" s="5">
        <v>4.2753623188405795E-2</v>
      </c>
      <c r="M10" s="29">
        <f t="shared" si="2"/>
        <v>517.17795260207788</v>
      </c>
      <c r="N10" s="6">
        <v>75.05</v>
      </c>
      <c r="O10" s="29">
        <f t="shared" si="4"/>
        <v>442.12795260207787</v>
      </c>
      <c r="P10" s="6">
        <v>442.12795260207787</v>
      </c>
    </row>
    <row r="11" spans="1:16" x14ac:dyDescent="0.2">
      <c r="A11" s="27" t="s">
        <v>125</v>
      </c>
      <c r="B11">
        <f t="shared" si="3"/>
        <v>2002</v>
      </c>
      <c r="C11" s="28">
        <v>12642.3959333333</v>
      </c>
      <c r="D11" s="5">
        <v>0.63759060234941267</v>
      </c>
      <c r="E11" s="6">
        <f t="shared" si="0"/>
        <v>8060.6728382737447</v>
      </c>
      <c r="F11" s="6">
        <v>888.71942446043158</v>
      </c>
      <c r="H11" s="6">
        <f t="shared" si="1"/>
        <v>7171.9534138133131</v>
      </c>
      <c r="J11" s="5"/>
      <c r="K11">
        <v>7</v>
      </c>
      <c r="L11" s="5">
        <v>6.7572463768115945E-2</v>
      </c>
      <c r="M11" s="29">
        <f t="shared" si="2"/>
        <v>817.40413695158918</v>
      </c>
      <c r="N11" s="6">
        <v>75.05</v>
      </c>
      <c r="O11" s="29">
        <f t="shared" si="4"/>
        <v>742.35413695158923</v>
      </c>
      <c r="P11" s="6">
        <v>742.35413695158923</v>
      </c>
    </row>
    <row r="12" spans="1:16" x14ac:dyDescent="0.2">
      <c r="A12" s="27" t="s">
        <v>126</v>
      </c>
      <c r="B12">
        <f t="shared" si="3"/>
        <v>2003</v>
      </c>
      <c r="C12" s="28">
        <v>11670.367533333299</v>
      </c>
      <c r="D12" s="5">
        <v>0.74547619047619051</v>
      </c>
      <c r="E12" s="6">
        <f t="shared" si="0"/>
        <v>8699.9811302063245</v>
      </c>
      <c r="F12" s="6">
        <v>635.00000000000011</v>
      </c>
      <c r="H12" s="6">
        <f t="shared" si="1"/>
        <v>8064.9811302063245</v>
      </c>
      <c r="J12" s="5"/>
      <c r="K12">
        <v>8</v>
      </c>
      <c r="L12" s="5">
        <v>5.1086956521739134E-2</v>
      </c>
      <c r="M12" s="29">
        <f t="shared" si="2"/>
        <v>617.98382471943205</v>
      </c>
      <c r="N12" s="6">
        <v>75.05</v>
      </c>
      <c r="O12" s="29">
        <f t="shared" si="4"/>
        <v>542.9338247194321</v>
      </c>
      <c r="P12" s="6">
        <v>542.9338247194321</v>
      </c>
    </row>
    <row r="13" spans="1:16" x14ac:dyDescent="0.2">
      <c r="A13" s="27" t="s">
        <v>127</v>
      </c>
      <c r="B13">
        <f t="shared" si="3"/>
        <v>2004</v>
      </c>
      <c r="C13" s="28">
        <v>10711.652</v>
      </c>
      <c r="D13" s="5">
        <v>0.73350173665929908</v>
      </c>
      <c r="E13" s="6">
        <f t="shared" si="0"/>
        <v>7857.0153444900543</v>
      </c>
      <c r="F13" s="6">
        <v>561</v>
      </c>
      <c r="H13" s="6">
        <f t="shared" si="1"/>
        <v>7296.0153444900543</v>
      </c>
      <c r="J13" s="5"/>
      <c r="K13">
        <v>9</v>
      </c>
      <c r="L13" s="5">
        <v>4.7644927536231882E-2</v>
      </c>
      <c r="M13" s="29">
        <f t="shared" si="2"/>
        <v>576.34661667095963</v>
      </c>
      <c r="N13" s="6">
        <v>35.023333333333333</v>
      </c>
      <c r="O13" s="29">
        <f t="shared" si="4"/>
        <v>541.32328333762632</v>
      </c>
      <c r="P13" s="6">
        <v>541.32328333762632</v>
      </c>
    </row>
    <row r="14" spans="1:16" x14ac:dyDescent="0.2">
      <c r="A14" s="27" t="s">
        <v>128</v>
      </c>
      <c r="B14">
        <f t="shared" si="3"/>
        <v>2005</v>
      </c>
      <c r="C14" s="28">
        <v>10007.4749333333</v>
      </c>
      <c r="D14" s="5">
        <v>0.74971493728620298</v>
      </c>
      <c r="E14" s="6">
        <f t="shared" si="0"/>
        <v>7502.7534420372231</v>
      </c>
      <c r="F14" s="6">
        <v>388</v>
      </c>
      <c r="H14" s="6">
        <f t="shared" si="1"/>
        <v>7114.7534420372231</v>
      </c>
      <c r="J14" s="5"/>
      <c r="K14">
        <v>10</v>
      </c>
      <c r="L14" s="5">
        <v>3.6594202898550726E-2</v>
      </c>
      <c r="M14" s="29">
        <f t="shared" si="2"/>
        <v>442.66926451533789</v>
      </c>
      <c r="N14" s="6">
        <v>35.023333333333333</v>
      </c>
      <c r="O14" s="29">
        <f t="shared" si="4"/>
        <v>407.64593118200457</v>
      </c>
      <c r="P14" s="6">
        <v>407.64593118200457</v>
      </c>
    </row>
    <row r="15" spans="1:16" x14ac:dyDescent="0.2">
      <c r="A15" s="27" t="s">
        <v>129</v>
      </c>
      <c r="B15">
        <f t="shared" si="3"/>
        <v>2006</v>
      </c>
      <c r="C15" s="28">
        <v>9380.5717333333305</v>
      </c>
      <c r="D15" s="5">
        <v>0.69580707043025491</v>
      </c>
      <c r="E15" s="6">
        <f t="shared" si="0"/>
        <v>6527.0681367315228</v>
      </c>
      <c r="F15" s="6">
        <v>124.00000000000003</v>
      </c>
      <c r="H15" s="6">
        <f t="shared" si="1"/>
        <v>6403.0681367315228</v>
      </c>
      <c r="J15" s="5"/>
      <c r="K15">
        <v>11</v>
      </c>
      <c r="L15" s="5">
        <v>2.8804347826086957E-2</v>
      </c>
      <c r="M15" s="29">
        <f t="shared" si="2"/>
        <v>348.43768840563723</v>
      </c>
      <c r="N15" s="6">
        <v>35.023333333333333</v>
      </c>
      <c r="O15" s="29">
        <f t="shared" si="4"/>
        <v>313.41435507230392</v>
      </c>
      <c r="P15" s="6">
        <v>313.41435507230392</v>
      </c>
    </row>
    <row r="16" spans="1:16" x14ac:dyDescent="0.2">
      <c r="A16" s="27" t="s">
        <v>130</v>
      </c>
      <c r="B16">
        <f t="shared" si="3"/>
        <v>2007</v>
      </c>
      <c r="C16" s="28">
        <v>8996.9076666666697</v>
      </c>
      <c r="D16" s="5">
        <v>0.7334299917149959</v>
      </c>
      <c r="E16" s="6">
        <f t="shared" si="0"/>
        <v>6598.6019154239184</v>
      </c>
      <c r="F16" s="6">
        <v>111.00000000000003</v>
      </c>
      <c r="H16" s="6">
        <f t="shared" si="1"/>
        <v>6487.6019154239184</v>
      </c>
      <c r="J16" s="5"/>
      <c r="K16">
        <v>12</v>
      </c>
      <c r="L16" s="5">
        <v>2.753623188405797E-2</v>
      </c>
      <c r="M16" s="29">
        <f t="shared" si="2"/>
        <v>333.09766438777899</v>
      </c>
      <c r="N16" s="6">
        <v>15.010000000000002</v>
      </c>
      <c r="O16" s="29">
        <f t="shared" si="4"/>
        <v>318.087664387779</v>
      </c>
      <c r="P16" s="6">
        <v>318.087664387779</v>
      </c>
    </row>
    <row r="17" spans="1:16" x14ac:dyDescent="0.2">
      <c r="A17" s="27" t="s">
        <v>131</v>
      </c>
      <c r="B17">
        <f t="shared" si="3"/>
        <v>2008</v>
      </c>
      <c r="C17" s="28">
        <v>8900.1059999999998</v>
      </c>
      <c r="D17" s="5">
        <v>0.78008752735229758</v>
      </c>
      <c r="E17" s="6">
        <f t="shared" si="0"/>
        <v>6942.8616827133474</v>
      </c>
      <c r="F17" s="6">
        <v>88.999999999999986</v>
      </c>
      <c r="H17" s="6">
        <f t="shared" si="1"/>
        <v>6853.8616827133474</v>
      </c>
      <c r="J17" s="5"/>
      <c r="K17">
        <v>13</v>
      </c>
      <c r="L17" s="5">
        <v>1.9927536231884056E-2</v>
      </c>
      <c r="M17" s="29">
        <f t="shared" si="2"/>
        <v>241.05752028062949</v>
      </c>
      <c r="N17" s="6">
        <v>15.010000000000002</v>
      </c>
      <c r="O17" s="29">
        <f t="shared" si="4"/>
        <v>226.0475202806295</v>
      </c>
      <c r="P17" s="6">
        <v>226.0475202806295</v>
      </c>
    </row>
    <row r="18" spans="1:16" x14ac:dyDescent="0.2">
      <c r="A18" s="27" t="s">
        <v>132</v>
      </c>
      <c r="B18">
        <f t="shared" si="3"/>
        <v>2009</v>
      </c>
      <c r="C18" s="28">
        <v>8176.69</v>
      </c>
      <c r="D18" s="5">
        <v>0.73436401967673925</v>
      </c>
      <c r="E18" s="6">
        <f t="shared" si="0"/>
        <v>6004.6669360505966</v>
      </c>
      <c r="F18" s="6">
        <v>134.79032258064515</v>
      </c>
      <c r="H18" s="6">
        <f t="shared" si="1"/>
        <v>5869.8766134699517</v>
      </c>
      <c r="J18" s="5"/>
      <c r="K18">
        <v>14</v>
      </c>
      <c r="L18" s="5">
        <v>1.5579710144927537E-2</v>
      </c>
      <c r="M18" s="29">
        <f t="shared" si="2"/>
        <v>188.46315221940128</v>
      </c>
      <c r="N18" s="6">
        <v>15.01</v>
      </c>
      <c r="O18" s="29">
        <f t="shared" si="4"/>
        <v>173.45315221940129</v>
      </c>
      <c r="P18" s="6">
        <v>173.45315221940129</v>
      </c>
    </row>
    <row r="19" spans="1:16" x14ac:dyDescent="0.2">
      <c r="A19" s="27" t="s">
        <v>133</v>
      </c>
      <c r="B19">
        <f t="shared" si="3"/>
        <v>2010</v>
      </c>
      <c r="C19" s="28">
        <v>6914.8548000000001</v>
      </c>
      <c r="D19" s="5">
        <f>5004/6820</f>
        <v>0.73372434017595312</v>
      </c>
      <c r="E19" s="6">
        <f t="shared" si="0"/>
        <v>5073.5972755425219</v>
      </c>
      <c r="F19" s="6">
        <v>117.82867863710052</v>
      </c>
      <c r="H19" s="6">
        <f t="shared" si="1"/>
        <v>4955.768596905421</v>
      </c>
      <c r="J19" s="5"/>
      <c r="K19">
        <v>15</v>
      </c>
      <c r="L19" s="5">
        <v>1.6123188405797101E-2</v>
      </c>
      <c r="M19" s="29">
        <f t="shared" si="2"/>
        <v>195.0374482270548</v>
      </c>
      <c r="N19" s="6">
        <v>12.508333333333335</v>
      </c>
      <c r="O19" s="29">
        <f t="shared" si="4"/>
        <v>182.52911489372147</v>
      </c>
      <c r="P19" s="6">
        <v>182.52911489372147</v>
      </c>
    </row>
    <row r="20" spans="1:16" x14ac:dyDescent="0.2">
      <c r="A20" s="27" t="s">
        <v>134</v>
      </c>
      <c r="B20">
        <f t="shared" si="3"/>
        <v>2011</v>
      </c>
      <c r="C20" s="28">
        <v>6077.94333333333</v>
      </c>
      <c r="D20" s="5">
        <f>15994/22719</f>
        <v>0.70399225318015757</v>
      </c>
      <c r="E20" s="6">
        <f t="shared" si="0"/>
        <v>4278.8250219346482</v>
      </c>
      <c r="F20" s="6">
        <v>84.876590543674084</v>
      </c>
      <c r="H20" s="6">
        <f t="shared" si="1"/>
        <v>4193.9484313909743</v>
      </c>
      <c r="J20" s="5"/>
      <c r="K20">
        <v>16</v>
      </c>
      <c r="L20" s="5">
        <v>7.0652173913043478E-3</v>
      </c>
      <c r="M20" s="29">
        <f t="shared" si="2"/>
        <v>85.465848099495915</v>
      </c>
      <c r="N20" s="6">
        <v>12.508333333333335</v>
      </c>
      <c r="O20" s="29">
        <f t="shared" si="4"/>
        <v>72.957514766162575</v>
      </c>
      <c r="P20" s="6">
        <v>72.957514766162575</v>
      </c>
    </row>
    <row r="21" spans="1:16" x14ac:dyDescent="0.2">
      <c r="A21" s="27" t="s">
        <v>135</v>
      </c>
      <c r="B21">
        <f t="shared" si="3"/>
        <v>2012</v>
      </c>
      <c r="C21" s="28">
        <v>5531.9465333333301</v>
      </c>
      <c r="D21" s="5">
        <f>4181/5146</f>
        <v>0.812475709288768</v>
      </c>
      <c r="E21" s="6">
        <f t="shared" si="0"/>
        <v>4494.5721834175383</v>
      </c>
      <c r="F21" s="6">
        <v>60.911435566636698</v>
      </c>
      <c r="H21" s="6">
        <f t="shared" si="1"/>
        <v>4433.6607478509013</v>
      </c>
      <c r="J21" s="5"/>
      <c r="K21">
        <v>17</v>
      </c>
      <c r="L21" s="5">
        <v>2.5362318840579708E-3</v>
      </c>
      <c r="M21" s="29">
        <f t="shared" si="2"/>
        <v>30.680048035716482</v>
      </c>
      <c r="N21" s="6">
        <v>12.508333333333335</v>
      </c>
      <c r="O21" s="29">
        <f t="shared" si="4"/>
        <v>18.171714702383149</v>
      </c>
      <c r="P21" s="6">
        <v>18.171714702383149</v>
      </c>
    </row>
    <row r="22" spans="1:16" x14ac:dyDescent="0.2">
      <c r="A22" s="27" t="s">
        <v>136</v>
      </c>
      <c r="B22">
        <f t="shared" si="3"/>
        <v>2013</v>
      </c>
      <c r="C22" s="28">
        <v>5528.8374666666696</v>
      </c>
      <c r="D22" s="5">
        <f>2612/3507</f>
        <v>0.74479612204163104</v>
      </c>
      <c r="E22" s="6">
        <f t="shared" si="0"/>
        <v>4117.856704571811</v>
      </c>
      <c r="F22" s="6">
        <v>17.973866232778043</v>
      </c>
      <c r="H22" s="6">
        <f t="shared" si="1"/>
        <v>4099.8828383390328</v>
      </c>
      <c r="J22" s="5"/>
      <c r="K22">
        <v>18</v>
      </c>
      <c r="L22" s="5">
        <v>2.717391304347826E-3</v>
      </c>
      <c r="M22" s="29">
        <f t="shared" si="2"/>
        <v>32.871480038267663</v>
      </c>
      <c r="N22" s="6">
        <v>12.508333333333335</v>
      </c>
      <c r="O22" s="29">
        <f t="shared" si="4"/>
        <v>20.36314670493433</v>
      </c>
      <c r="P22" s="6">
        <v>20.36314670493433</v>
      </c>
    </row>
    <row r="23" spans="1:16" x14ac:dyDescent="0.2">
      <c r="A23" s="27" t="s">
        <v>137</v>
      </c>
      <c r="B23">
        <f t="shared" si="3"/>
        <v>2014</v>
      </c>
      <c r="C23" s="28">
        <v>5753.9732000000004</v>
      </c>
      <c r="D23" s="5">
        <f>10520/14204</f>
        <v>0.74063644043931287</v>
      </c>
      <c r="E23" s="6">
        <f t="shared" si="0"/>
        <v>4261.6022292312027</v>
      </c>
      <c r="F23" s="6">
        <v>20.233021513413675</v>
      </c>
      <c r="H23" s="6">
        <f t="shared" si="1"/>
        <v>4241.3692077177893</v>
      </c>
      <c r="J23" s="5"/>
      <c r="K23">
        <v>19</v>
      </c>
      <c r="L23" s="5">
        <v>1.2681159420289854E-3</v>
      </c>
      <c r="M23" s="29">
        <f t="shared" si="2"/>
        <v>15.340024017858241</v>
      </c>
      <c r="N23" s="6">
        <v>12.508333333333335</v>
      </c>
      <c r="O23" s="29">
        <f t="shared" si="4"/>
        <v>2.8316906845249061</v>
      </c>
      <c r="P23" s="29">
        <v>2.8316906845249061</v>
      </c>
    </row>
    <row r="24" spans="1:16" x14ac:dyDescent="0.2">
      <c r="A24" s="27" t="s">
        <v>138</v>
      </c>
      <c r="B24">
        <f t="shared" si="3"/>
        <v>2015</v>
      </c>
      <c r="C24" s="28">
        <v>5961.0616666666701</v>
      </c>
      <c r="D24" s="5">
        <f>2773/3930</f>
        <v>0.70559796437659028</v>
      </c>
      <c r="E24" s="6">
        <f t="shared" si="0"/>
        <v>4206.1129775233267</v>
      </c>
      <c r="F24" s="6">
        <v>28.510166677992007</v>
      </c>
      <c r="H24" s="6">
        <f t="shared" si="1"/>
        <v>4177.6028108453347</v>
      </c>
      <c r="J24" s="5"/>
      <c r="K24">
        <v>20</v>
      </c>
      <c r="L24" s="5">
        <v>7.246376811594203E-4</v>
      </c>
      <c r="M24" s="29">
        <f t="shared" si="2"/>
        <v>8.7657280102047093</v>
      </c>
      <c r="N24" s="6">
        <v>12.508333333333335</v>
      </c>
      <c r="O24" s="29">
        <f t="shared" si="4"/>
        <v>-3.7426053231286254</v>
      </c>
      <c r="P24" s="6">
        <v>0</v>
      </c>
    </row>
    <row r="25" spans="1:16" x14ac:dyDescent="0.2">
      <c r="A25" s="27" t="s">
        <v>139</v>
      </c>
      <c r="B25">
        <f t="shared" si="3"/>
        <v>2016</v>
      </c>
      <c r="C25" s="28">
        <v>6267.5389333333296</v>
      </c>
      <c r="D25" s="5">
        <f>4957/6913</f>
        <v>0.71705482424417766</v>
      </c>
      <c r="E25" s="6">
        <f t="shared" si="0"/>
        <v>4494.1690282848713</v>
      </c>
      <c r="F25" s="6">
        <v>34.028263454377552</v>
      </c>
      <c r="H25" s="6">
        <f t="shared" si="1"/>
        <v>4460.1407648304939</v>
      </c>
      <c r="P25" s="6">
        <f>SUM(P5:P24)</f>
        <v>10599.447259405626</v>
      </c>
    </row>
    <row r="26" spans="1:16" x14ac:dyDescent="0.2">
      <c r="A26" s="27" t="s">
        <v>140</v>
      </c>
      <c r="B26">
        <v>2017</v>
      </c>
      <c r="C26" s="28">
        <v>7177.6444000000001</v>
      </c>
      <c r="D26" s="5">
        <f>2479/3420</f>
        <v>0.72485380116959064</v>
      </c>
      <c r="E26" s="6">
        <f t="shared" si="0"/>
        <v>5202.7428267836258</v>
      </c>
      <c r="F26" s="6">
        <v>47.823505395341442</v>
      </c>
      <c r="H26" s="6">
        <f t="shared" si="1"/>
        <v>5154.9193213882845</v>
      </c>
      <c r="L26" t="s">
        <v>141</v>
      </c>
      <c r="M26" s="6">
        <f>SUM(M5:M24)</f>
        <v>12096.704654082501</v>
      </c>
      <c r="N26" s="6">
        <f>SUM(N5:N24)</f>
        <v>1501.0000000000005</v>
      </c>
    </row>
    <row r="27" spans="1:16" x14ac:dyDescent="0.2">
      <c r="A27" s="27" t="s">
        <v>142</v>
      </c>
      <c r="B27">
        <v>2018</v>
      </c>
      <c r="C27" s="28">
        <v>7922.3397333333296</v>
      </c>
      <c r="D27" s="5">
        <f>2535/3437</f>
        <v>0.73756182717486185</v>
      </c>
      <c r="E27" s="6">
        <f t="shared" si="0"/>
        <v>5843.2153692173388</v>
      </c>
      <c r="F27" s="6">
        <v>54.261284967791241</v>
      </c>
      <c r="H27" s="6">
        <f t="shared" si="1"/>
        <v>5788.9540842495471</v>
      </c>
      <c r="M27" s="6"/>
    </row>
    <row r="28" spans="1:16" x14ac:dyDescent="0.2">
      <c r="A28" s="30" t="s">
        <v>143</v>
      </c>
      <c r="B28">
        <v>2019</v>
      </c>
      <c r="C28" s="28">
        <v>7401.2212666666701</v>
      </c>
      <c r="D28" s="5">
        <v>0.75190562613430123</v>
      </c>
      <c r="E28" s="6">
        <f t="shared" si="0"/>
        <v>5565.019910671509</v>
      </c>
      <c r="F28" s="6">
        <v>73.574623685140651</v>
      </c>
      <c r="H28" s="6">
        <f t="shared" si="1"/>
        <v>5491.445286986368</v>
      </c>
      <c r="M28" s="6"/>
    </row>
    <row r="29" spans="1:16" x14ac:dyDescent="0.2">
      <c r="A29" s="27" t="s">
        <v>144</v>
      </c>
      <c r="B29">
        <v>2020</v>
      </c>
      <c r="C29" s="28">
        <v>6736.92086666667</v>
      </c>
      <c r="D29" s="5">
        <v>0.73709581726490658</v>
      </c>
      <c r="E29" s="6">
        <f t="shared" si="0"/>
        <v>4965.7561920646722</v>
      </c>
      <c r="F29" s="6">
        <v>77.253354869397697</v>
      </c>
      <c r="H29" s="6">
        <f t="shared" si="1"/>
        <v>4888.5028371952749</v>
      </c>
      <c r="M29" s="6"/>
    </row>
  </sheetData>
  <mergeCells count="1">
    <mergeCell ref="A1:P2"/>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59E0F-75ED-C149-8216-72DAF36704AD}">
  <sheetPr>
    <tabColor theme="8" tint="0.59999389629810485"/>
  </sheetPr>
  <dimension ref="A1:R29"/>
  <sheetViews>
    <sheetView zoomScale="120" zoomScaleNormal="120" workbookViewId="0">
      <selection activeCell="D27" sqref="D27"/>
    </sheetView>
  </sheetViews>
  <sheetFormatPr baseColWidth="10" defaultRowHeight="16" x14ac:dyDescent="0.2"/>
  <sheetData>
    <row r="1" spans="1:18" x14ac:dyDescent="0.2">
      <c r="A1" s="68" t="s">
        <v>106</v>
      </c>
      <c r="B1" s="68"/>
      <c r="C1" s="68"/>
      <c r="D1" s="68"/>
      <c r="E1" s="68"/>
      <c r="F1" s="68"/>
      <c r="G1" s="68"/>
      <c r="H1" s="68"/>
      <c r="I1" s="68"/>
      <c r="J1" s="68"/>
      <c r="K1" s="68"/>
      <c r="L1" s="68"/>
      <c r="M1" s="68"/>
      <c r="N1" s="68"/>
      <c r="O1" s="68"/>
      <c r="P1" s="68"/>
    </row>
    <row r="2" spans="1:18" x14ac:dyDescent="0.2">
      <c r="A2" s="68"/>
      <c r="B2" s="68"/>
      <c r="C2" s="68"/>
      <c r="D2" s="68"/>
      <c r="E2" s="68"/>
      <c r="F2" s="68"/>
      <c r="G2" s="68"/>
      <c r="H2" s="68"/>
      <c r="I2" s="68"/>
      <c r="J2" s="68"/>
      <c r="K2" s="68"/>
      <c r="L2" s="68"/>
      <c r="M2" s="68"/>
      <c r="N2" s="68"/>
      <c r="O2" s="68"/>
      <c r="P2" s="68"/>
    </row>
    <row r="3" spans="1:18" x14ac:dyDescent="0.2">
      <c r="A3" t="s">
        <v>145</v>
      </c>
      <c r="B3" t="s">
        <v>146</v>
      </c>
      <c r="C3" t="s">
        <v>108</v>
      </c>
      <c r="D3" t="s">
        <v>147</v>
      </c>
      <c r="E3" t="s">
        <v>148</v>
      </c>
      <c r="G3" t="s">
        <v>149</v>
      </c>
      <c r="H3" t="s">
        <v>150</v>
      </c>
      <c r="J3" t="s">
        <v>151</v>
      </c>
      <c r="K3" t="s">
        <v>152</v>
      </c>
      <c r="L3" t="s">
        <v>153</v>
      </c>
      <c r="M3" t="s">
        <v>154</v>
      </c>
      <c r="O3" t="s">
        <v>111</v>
      </c>
      <c r="P3" t="s">
        <v>112</v>
      </c>
      <c r="Q3" t="s">
        <v>155</v>
      </c>
      <c r="R3" t="s">
        <v>156</v>
      </c>
    </row>
    <row r="4" spans="1:18" x14ac:dyDescent="0.2">
      <c r="A4" s="31">
        <v>34669</v>
      </c>
      <c r="B4">
        <v>1995</v>
      </c>
      <c r="C4" s="28">
        <v>20931.702066666701</v>
      </c>
      <c r="D4" s="28">
        <v>16909.730466666701</v>
      </c>
      <c r="E4" s="28">
        <v>4021.9715999999999</v>
      </c>
      <c r="G4" s="2">
        <f>D4/C4</f>
        <v>0.80785262530537794</v>
      </c>
      <c r="J4" s="5">
        <v>0.57791309161361748</v>
      </c>
      <c r="K4" s="6">
        <f>C4*$J4</f>
        <v>12096.704654082499</v>
      </c>
      <c r="L4" s="6">
        <f t="shared" ref="L4:M19" si="0">D4*$J4</f>
        <v>9772.3546123443321</v>
      </c>
      <c r="M4" s="6">
        <f t="shared" si="0"/>
        <v>2324.3500417381674</v>
      </c>
      <c r="O4" s="6">
        <v>1501.0000000000005</v>
      </c>
      <c r="P4" s="6">
        <v>10595.704654082499</v>
      </c>
      <c r="Q4" s="6">
        <f>P4*G4</f>
        <v>8559.7678217609591</v>
      </c>
      <c r="R4" s="6">
        <f>P4-L4</f>
        <v>823.35004173816742</v>
      </c>
    </row>
    <row r="5" spans="1:18" x14ac:dyDescent="0.2">
      <c r="A5" s="31">
        <v>35034</v>
      </c>
      <c r="B5">
        <f>B4+1</f>
        <v>1996</v>
      </c>
      <c r="C5" s="28">
        <v>20022.749666666699</v>
      </c>
      <c r="D5" s="28">
        <v>16296.9341333333</v>
      </c>
      <c r="E5" s="28">
        <v>3725.8155333333302</v>
      </c>
      <c r="G5" s="2">
        <f t="shared" ref="G5:G29" si="1">D5/C5</f>
        <v>0.81392088522506822</v>
      </c>
      <c r="J5" s="5">
        <v>0.61348853132488879</v>
      </c>
      <c r="K5" s="6">
        <f t="shared" ref="K5:M29" si="2">C5*$J5</f>
        <v>12283.727286089259</v>
      </c>
      <c r="L5" s="6">
        <f t="shared" si="0"/>
        <v>9997.9821865570957</v>
      </c>
      <c r="M5" s="6">
        <f t="shared" si="0"/>
        <v>2285.7450995321219</v>
      </c>
      <c r="O5" s="6">
        <v>1094.6936829558999</v>
      </c>
      <c r="P5" s="6">
        <v>11189.033603133359</v>
      </c>
      <c r="Q5" s="6">
        <f t="shared" ref="Q5:Q29" si="3">P5*G5</f>
        <v>9106.9881350753385</v>
      </c>
      <c r="R5" s="6">
        <f t="shared" ref="R5:R29" si="4">P5-L5</f>
        <v>1191.0514165762634</v>
      </c>
    </row>
    <row r="6" spans="1:18" x14ac:dyDescent="0.2">
      <c r="A6" s="31">
        <v>35400</v>
      </c>
      <c r="B6">
        <f t="shared" ref="B6:B25" si="5">B5+1</f>
        <v>1997</v>
      </c>
      <c r="C6" s="28">
        <v>19175.643333333301</v>
      </c>
      <c r="D6" s="28">
        <v>15657.091399999999</v>
      </c>
      <c r="E6" s="28">
        <v>3518.55193333333</v>
      </c>
      <c r="G6" s="2">
        <f t="shared" si="1"/>
        <v>0.81650931485480072</v>
      </c>
      <c r="J6" s="5">
        <f>AVERAGE(J5,J7)</f>
        <v>0.57347220683891498</v>
      </c>
      <c r="K6" s="6">
        <f t="shared" si="2"/>
        <v>10996.698499922575</v>
      </c>
      <c r="L6" s="6">
        <f t="shared" si="0"/>
        <v>8978.9067578365957</v>
      </c>
      <c r="M6" s="6">
        <f t="shared" si="0"/>
        <v>2017.7917420859956</v>
      </c>
      <c r="O6" s="6">
        <v>1904.7721962616829</v>
      </c>
      <c r="P6" s="6"/>
      <c r="Q6" s="6"/>
      <c r="R6" s="6"/>
    </row>
    <row r="7" spans="1:18" x14ac:dyDescent="0.2">
      <c r="A7" s="32">
        <v>35765</v>
      </c>
      <c r="B7">
        <f t="shared" si="5"/>
        <v>1998</v>
      </c>
      <c r="C7" s="28">
        <v>17399.660133333298</v>
      </c>
      <c r="D7" s="28">
        <v>14300.874666666699</v>
      </c>
      <c r="E7" s="28">
        <v>3098.7854666666699</v>
      </c>
      <c r="F7" s="2"/>
      <c r="G7" s="2">
        <f t="shared" si="1"/>
        <v>0.82190540258139189</v>
      </c>
      <c r="J7" s="5">
        <v>0.53345588235294117</v>
      </c>
      <c r="K7" s="6">
        <f t="shared" si="2"/>
        <v>9281.951049068608</v>
      </c>
      <c r="L7" s="6">
        <f t="shared" si="0"/>
        <v>7628.8857137255072</v>
      </c>
      <c r="M7" s="6">
        <f t="shared" si="0"/>
        <v>1653.0653353431389</v>
      </c>
      <c r="O7" s="6">
        <v>1013.9999999999999</v>
      </c>
      <c r="P7" s="6">
        <v>8267.951049068608</v>
      </c>
      <c r="Q7" s="6">
        <f t="shared" si="3"/>
        <v>6795.4736355079758</v>
      </c>
      <c r="R7" s="6">
        <f t="shared" si="4"/>
        <v>639.06533534310074</v>
      </c>
    </row>
    <row r="8" spans="1:18" x14ac:dyDescent="0.2">
      <c r="A8" s="31">
        <v>36130</v>
      </c>
      <c r="B8">
        <f t="shared" si="5"/>
        <v>1999</v>
      </c>
      <c r="C8" s="28">
        <v>16173.4521333333</v>
      </c>
      <c r="D8" s="28">
        <v>13422.385266666701</v>
      </c>
      <c r="E8" s="28">
        <v>2751.0668666666702</v>
      </c>
      <c r="G8" s="2">
        <f t="shared" si="1"/>
        <v>0.82990230879672988</v>
      </c>
      <c r="J8" s="5">
        <v>0.54130702836004929</v>
      </c>
      <c r="K8" s="6">
        <f>C8*$J8</f>
        <v>8754.803312618149</v>
      </c>
      <c r="L8" s="6">
        <f t="shared" si="0"/>
        <v>7265.6314822030599</v>
      </c>
      <c r="M8" s="6">
        <f t="shared" si="0"/>
        <v>1489.1718304151273</v>
      </c>
      <c r="O8" s="6">
        <v>1302.585568917669</v>
      </c>
      <c r="P8" s="6">
        <v>7452.2177437004802</v>
      </c>
      <c r="Q8" s="6">
        <f t="shared" si="3"/>
        <v>6184.6127111529859</v>
      </c>
      <c r="R8" s="6">
        <f t="shared" si="4"/>
        <v>186.58626149742031</v>
      </c>
    </row>
    <row r="9" spans="1:18" x14ac:dyDescent="0.2">
      <c r="A9" s="32" t="s">
        <v>157</v>
      </c>
      <c r="B9">
        <f t="shared" si="5"/>
        <v>2000</v>
      </c>
      <c r="C9" s="28">
        <v>15315.8561333333</v>
      </c>
      <c r="D9" s="28">
        <v>12834.8824</v>
      </c>
      <c r="E9" s="28">
        <v>2480.9737333333301</v>
      </c>
      <c r="G9" s="2">
        <f t="shared" si="1"/>
        <v>0.83801272930908977</v>
      </c>
      <c r="J9" s="5">
        <v>0.6838770985112449</v>
      </c>
      <c r="K9" s="6">
        <f t="shared" si="2"/>
        <v>10474.163253679631</v>
      </c>
      <c r="L9" s="6">
        <f t="shared" si="0"/>
        <v>8777.4821354450432</v>
      </c>
      <c r="M9" s="6">
        <f t="shared" si="0"/>
        <v>1696.6811182346089</v>
      </c>
      <c r="O9" s="6">
        <v>742.99999999999989</v>
      </c>
      <c r="P9" s="6">
        <v>9731.1632536796315</v>
      </c>
      <c r="Q9" s="6">
        <f t="shared" si="3"/>
        <v>8154.8386775683903</v>
      </c>
      <c r="R9" s="6">
        <f t="shared" si="4"/>
        <v>953.68111823458821</v>
      </c>
    </row>
    <row r="10" spans="1:18" x14ac:dyDescent="0.2">
      <c r="A10" s="31"/>
      <c r="B10">
        <f t="shared" si="5"/>
        <v>2001</v>
      </c>
      <c r="C10" s="28">
        <v>14173.346</v>
      </c>
      <c r="D10" s="28">
        <v>11936.212666666701</v>
      </c>
      <c r="E10" s="28">
        <v>2237.13333333333</v>
      </c>
      <c r="G10" s="2">
        <f t="shared" si="1"/>
        <v>0.84215912506945789</v>
      </c>
      <c r="H10" s="5"/>
      <c r="J10" s="5">
        <v>0.52862493311931513</v>
      </c>
      <c r="K10" s="6">
        <f t="shared" si="2"/>
        <v>7492.3840813269126</v>
      </c>
      <c r="L10" s="6">
        <f t="shared" si="0"/>
        <v>6309.7796226146065</v>
      </c>
      <c r="M10" s="6">
        <f t="shared" si="0"/>
        <v>1182.6044587123222</v>
      </c>
      <c r="O10" s="6">
        <v>937</v>
      </c>
      <c r="P10" s="6">
        <v>6555.3840813269126</v>
      </c>
      <c r="Q10" s="6">
        <f t="shared" si="3"/>
        <v>5520.6765224245246</v>
      </c>
      <c r="R10" s="6">
        <f t="shared" si="4"/>
        <v>245.60445871230604</v>
      </c>
    </row>
    <row r="11" spans="1:18" x14ac:dyDescent="0.2">
      <c r="A11" s="33">
        <v>37247</v>
      </c>
      <c r="B11">
        <f t="shared" si="5"/>
        <v>2002</v>
      </c>
      <c r="C11" s="28">
        <v>12642.3959333333</v>
      </c>
      <c r="D11" s="28">
        <v>10662.1240666667</v>
      </c>
      <c r="E11" s="28">
        <v>1980.2718666666699</v>
      </c>
      <c r="G11" s="2">
        <f t="shared" si="1"/>
        <v>0.84336261282203961</v>
      </c>
      <c r="J11" s="5">
        <v>0.63759060234941267</v>
      </c>
      <c r="K11" s="6">
        <f t="shared" si="2"/>
        <v>8060.6728382737447</v>
      </c>
      <c r="L11" s="6">
        <f t="shared" si="0"/>
        <v>6798.0701059901903</v>
      </c>
      <c r="M11" s="6">
        <f t="shared" si="0"/>
        <v>1262.6027322835978</v>
      </c>
      <c r="O11" s="6">
        <v>888.71942446043158</v>
      </c>
      <c r="P11" s="6">
        <v>7171.9534138133131</v>
      </c>
      <c r="Q11" s="6">
        <f t="shared" si="3"/>
        <v>6048.5573701115427</v>
      </c>
      <c r="R11" s="6">
        <f t="shared" si="4"/>
        <v>373.88330782312278</v>
      </c>
    </row>
    <row r="12" spans="1:18" x14ac:dyDescent="0.2">
      <c r="A12" s="33">
        <v>37614</v>
      </c>
      <c r="B12">
        <f t="shared" si="5"/>
        <v>2003</v>
      </c>
      <c r="C12" s="28">
        <v>11670.367533333299</v>
      </c>
      <c r="D12" s="28">
        <v>9214.5412666666707</v>
      </c>
      <c r="E12" s="28">
        <v>2455.8262666666701</v>
      </c>
      <c r="G12" s="2">
        <f t="shared" si="1"/>
        <v>0.78956735855557125</v>
      </c>
      <c r="H12" s="5"/>
      <c r="J12" s="5">
        <v>0.74547619047619051</v>
      </c>
      <c r="K12" s="6">
        <f t="shared" si="2"/>
        <v>8699.9811302063245</v>
      </c>
      <c r="L12" s="6">
        <f t="shared" si="0"/>
        <v>6869.2211204603209</v>
      </c>
      <c r="M12" s="6">
        <f t="shared" si="0"/>
        <v>1830.7600097460345</v>
      </c>
      <c r="O12" s="6">
        <v>635.00000000000011</v>
      </c>
      <c r="P12" s="6">
        <v>8064.9811302063245</v>
      </c>
      <c r="Q12" s="6">
        <f t="shared" si="3"/>
        <v>6367.845847777533</v>
      </c>
      <c r="R12" s="6">
        <f t="shared" si="4"/>
        <v>1195.7600097460036</v>
      </c>
    </row>
    <row r="13" spans="1:18" x14ac:dyDescent="0.2">
      <c r="A13" s="31"/>
      <c r="B13">
        <f t="shared" si="5"/>
        <v>2004</v>
      </c>
      <c r="C13" s="28">
        <v>10711.652</v>
      </c>
      <c r="D13" s="28">
        <v>7974.3321333333297</v>
      </c>
      <c r="E13" s="28">
        <v>2737.3198666666699</v>
      </c>
      <c r="G13" s="2">
        <f t="shared" si="1"/>
        <v>0.74445399582933891</v>
      </c>
      <c r="J13" s="5">
        <v>0.73350173665929908</v>
      </c>
      <c r="K13" s="6">
        <f t="shared" si="2"/>
        <v>7857.0153444900543</v>
      </c>
      <c r="L13" s="6">
        <f t="shared" si="0"/>
        <v>5849.186468498051</v>
      </c>
      <c r="M13" s="6">
        <f t="shared" si="0"/>
        <v>2007.8288759920033</v>
      </c>
      <c r="O13" s="6">
        <v>561</v>
      </c>
      <c r="P13" s="6">
        <v>7296.0153444900543</v>
      </c>
      <c r="Q13" s="6">
        <f t="shared" si="3"/>
        <v>5431.5477768377914</v>
      </c>
      <c r="R13" s="6">
        <f t="shared" si="4"/>
        <v>1446.8288759920033</v>
      </c>
    </row>
    <row r="14" spans="1:18" x14ac:dyDescent="0.2">
      <c r="A14" s="33">
        <v>38357</v>
      </c>
      <c r="B14">
        <f t="shared" si="5"/>
        <v>2005</v>
      </c>
      <c r="C14" s="28">
        <v>10007.4749333333</v>
      </c>
      <c r="D14" s="28">
        <v>6662.7629333333298</v>
      </c>
      <c r="E14" s="28">
        <v>3344.712</v>
      </c>
      <c r="G14" s="2">
        <f t="shared" si="1"/>
        <v>0.66577862824724454</v>
      </c>
      <c r="J14" s="5">
        <v>0.74971493728620298</v>
      </c>
      <c r="K14" s="6">
        <f t="shared" si="2"/>
        <v>7502.7534420372231</v>
      </c>
      <c r="L14" s="6">
        <f t="shared" si="0"/>
        <v>4995.1728947168349</v>
      </c>
      <c r="M14" s="6">
        <f t="shared" si="0"/>
        <v>2507.5805473204105</v>
      </c>
      <c r="O14" s="6">
        <v>388</v>
      </c>
      <c r="P14" s="6">
        <v>7114.7534420372231</v>
      </c>
      <c r="Q14" s="6">
        <f t="shared" si="3"/>
        <v>4736.8507869569039</v>
      </c>
      <c r="R14" s="6">
        <f t="shared" si="4"/>
        <v>2119.5805473203882</v>
      </c>
    </row>
    <row r="15" spans="1:18" x14ac:dyDescent="0.2">
      <c r="A15" s="31"/>
      <c r="B15">
        <f t="shared" si="5"/>
        <v>2006</v>
      </c>
      <c r="C15" s="28">
        <v>9380.5717333333305</v>
      </c>
      <c r="D15" s="28">
        <v>5658.3234666666704</v>
      </c>
      <c r="E15" s="28">
        <v>3722.2482666666701</v>
      </c>
      <c r="G15" s="2">
        <f t="shared" si="1"/>
        <v>0.603196012729175</v>
      </c>
      <c r="J15" s="5">
        <v>0.69580707043025491</v>
      </c>
      <c r="K15" s="6">
        <f t="shared" si="2"/>
        <v>6527.0681367315228</v>
      </c>
      <c r="L15" s="6">
        <f t="shared" si="0"/>
        <v>3937.1014748881003</v>
      </c>
      <c r="M15" s="6">
        <f t="shared" si="0"/>
        <v>2589.9666618434298</v>
      </c>
      <c r="O15" s="6">
        <v>124.00000000000003</v>
      </c>
      <c r="P15" s="6">
        <v>6403.0681367315228</v>
      </c>
      <c r="Q15" s="6">
        <f t="shared" si="3"/>
        <v>3862.3051693096827</v>
      </c>
      <c r="R15" s="6">
        <f t="shared" si="4"/>
        <v>2465.9666618434226</v>
      </c>
    </row>
    <row r="16" spans="1:18" x14ac:dyDescent="0.2">
      <c r="A16" s="33">
        <v>39081</v>
      </c>
      <c r="B16">
        <f t="shared" si="5"/>
        <v>2007</v>
      </c>
      <c r="C16" s="28">
        <v>8996.9076666666697</v>
      </c>
      <c r="D16" s="28">
        <v>5328.8904000000002</v>
      </c>
      <c r="E16" s="28">
        <v>3668.0172666666699</v>
      </c>
      <c r="G16" s="2">
        <f t="shared" si="1"/>
        <v>0.59230244406568866</v>
      </c>
      <c r="J16" s="5">
        <v>0.7334299917149959</v>
      </c>
      <c r="K16" s="6">
        <f t="shared" si="2"/>
        <v>6598.6019154239184</v>
      </c>
      <c r="L16" s="6">
        <f t="shared" si="0"/>
        <v>3908.3680419221214</v>
      </c>
      <c r="M16" s="6">
        <f t="shared" si="0"/>
        <v>2690.2338735017975</v>
      </c>
      <c r="O16" s="6">
        <v>111.00000000000003</v>
      </c>
      <c r="P16" s="6">
        <v>6487.6019154239184</v>
      </c>
      <c r="Q16" s="6">
        <f t="shared" si="3"/>
        <v>3842.6224706308299</v>
      </c>
      <c r="R16" s="6">
        <f t="shared" si="4"/>
        <v>2579.233873501797</v>
      </c>
    </row>
    <row r="17" spans="1:18" x14ac:dyDescent="0.2">
      <c r="A17" s="33">
        <v>39492</v>
      </c>
      <c r="B17">
        <f t="shared" si="5"/>
        <v>2008</v>
      </c>
      <c r="C17" s="28">
        <v>8900.1059999999998</v>
      </c>
      <c r="D17" s="28">
        <v>4835.5118666666704</v>
      </c>
      <c r="E17" s="28">
        <v>4064.5941333333299</v>
      </c>
      <c r="G17" s="2">
        <f t="shared" si="1"/>
        <v>0.54330946919808265</v>
      </c>
      <c r="J17" s="5">
        <v>0.78008752735229758</v>
      </c>
      <c r="K17" s="6">
        <f t="shared" si="2"/>
        <v>6942.8616827133474</v>
      </c>
      <c r="L17" s="6">
        <f t="shared" si="0"/>
        <v>3772.1224955506959</v>
      </c>
      <c r="M17" s="6">
        <f t="shared" si="0"/>
        <v>3170.7391871626523</v>
      </c>
      <c r="O17" s="6">
        <v>88.999999999999986</v>
      </c>
      <c r="P17" s="6">
        <v>6853.8616827133474</v>
      </c>
      <c r="Q17" s="6">
        <f t="shared" si="3"/>
        <v>3723.7679527920664</v>
      </c>
      <c r="R17" s="6">
        <f t="shared" si="4"/>
        <v>3081.7391871626514</v>
      </c>
    </row>
    <row r="18" spans="1:18" x14ac:dyDescent="0.2">
      <c r="A18" s="33">
        <v>39843</v>
      </c>
      <c r="B18">
        <f t="shared" si="5"/>
        <v>2009</v>
      </c>
      <c r="C18" s="28">
        <v>8176.69</v>
      </c>
      <c r="D18" s="28">
        <v>4575.2081333333299</v>
      </c>
      <c r="E18" s="28">
        <v>3601.4818666666702</v>
      </c>
      <c r="G18" s="2">
        <f t="shared" si="1"/>
        <v>0.55954281418683238</v>
      </c>
      <c r="J18" s="5">
        <v>0.73436401967673925</v>
      </c>
      <c r="K18" s="6">
        <f t="shared" si="2"/>
        <v>6004.6669360505966</v>
      </c>
      <c r="L18" s="6">
        <f t="shared" si="0"/>
        <v>3359.868235652375</v>
      </c>
      <c r="M18" s="6">
        <f t="shared" si="0"/>
        <v>2644.7987003982221</v>
      </c>
      <c r="O18" s="6">
        <v>134.79032258064515</v>
      </c>
      <c r="P18" s="6">
        <v>5869.8766134699517</v>
      </c>
      <c r="Q18" s="6">
        <f t="shared" si="3"/>
        <v>3284.44727923045</v>
      </c>
      <c r="R18" s="6">
        <f t="shared" si="4"/>
        <v>2510.0083778175767</v>
      </c>
    </row>
    <row r="19" spans="1:18" x14ac:dyDescent="0.2">
      <c r="A19" s="33">
        <v>40235</v>
      </c>
      <c r="B19">
        <f t="shared" si="5"/>
        <v>2010</v>
      </c>
      <c r="C19" s="28">
        <v>6914.8548000000001</v>
      </c>
      <c r="D19" s="28">
        <v>3713.6066666666702</v>
      </c>
      <c r="E19" s="28">
        <v>3201.2481333333299</v>
      </c>
      <c r="G19" s="2">
        <f t="shared" si="1"/>
        <v>0.53704767114801455</v>
      </c>
      <c r="J19" s="5">
        <f>5004/6820</f>
        <v>0.73372434017595312</v>
      </c>
      <c r="K19" s="6">
        <f t="shared" si="2"/>
        <v>5073.5972755425219</v>
      </c>
      <c r="L19" s="6">
        <f t="shared" si="0"/>
        <v>2724.7636011730233</v>
      </c>
      <c r="M19" s="6">
        <f t="shared" si="0"/>
        <v>2348.833674369499</v>
      </c>
      <c r="O19" s="6">
        <v>117.82867863710052</v>
      </c>
      <c r="P19" s="6">
        <v>4955.768596905421</v>
      </c>
      <c r="Q19" s="6">
        <f t="shared" si="3"/>
        <v>2661.48398371652</v>
      </c>
      <c r="R19" s="6">
        <f t="shared" si="4"/>
        <v>2231.0049957323977</v>
      </c>
    </row>
    <row r="20" spans="1:18" x14ac:dyDescent="0.2">
      <c r="A20" s="31"/>
      <c r="B20">
        <f t="shared" si="5"/>
        <v>2011</v>
      </c>
      <c r="C20" s="28">
        <v>6077.94333333333</v>
      </c>
      <c r="D20" s="28">
        <v>3273.4694</v>
      </c>
      <c r="E20" s="28">
        <v>2804.47393333333</v>
      </c>
      <c r="G20" s="2">
        <f t="shared" si="1"/>
        <v>0.53858175709656197</v>
      </c>
      <c r="J20" s="5">
        <f>15994/22719</f>
        <v>0.70399225318015757</v>
      </c>
      <c r="K20" s="6">
        <f t="shared" si="2"/>
        <v>4278.8250219346482</v>
      </c>
      <c r="L20" s="6">
        <f t="shared" si="2"/>
        <v>2304.4970986222984</v>
      </c>
      <c r="M20" s="6">
        <f t="shared" si="2"/>
        <v>1974.3279233123501</v>
      </c>
      <c r="O20" s="6">
        <v>84.876590543674084</v>
      </c>
      <c r="P20" s="6">
        <v>4193.9484313909743</v>
      </c>
      <c r="Q20" s="6">
        <f t="shared" si="3"/>
        <v>2258.7841153509207</v>
      </c>
      <c r="R20" s="6">
        <f t="shared" si="4"/>
        <v>1889.4513327686759</v>
      </c>
    </row>
    <row r="21" spans="1:18" x14ac:dyDescent="0.2">
      <c r="A21" s="31"/>
      <c r="B21">
        <f t="shared" si="5"/>
        <v>2012</v>
      </c>
      <c r="C21" s="28">
        <v>5531.9465333333301</v>
      </c>
      <c r="D21" s="28">
        <v>2685.7557333333302</v>
      </c>
      <c r="E21" s="28">
        <v>2846.1907999999999</v>
      </c>
      <c r="G21" s="2">
        <f t="shared" si="1"/>
        <v>0.48549922114214672</v>
      </c>
      <c r="J21" s="5">
        <f>4181/5146</f>
        <v>0.812475709288768</v>
      </c>
      <c r="K21" s="6">
        <f t="shared" si="2"/>
        <v>4494.5721834175383</v>
      </c>
      <c r="L21" s="6">
        <f t="shared" si="2"/>
        <v>2182.1112944163729</v>
      </c>
      <c r="M21" s="6">
        <f t="shared" si="2"/>
        <v>2312.4608890011659</v>
      </c>
      <c r="O21" s="6">
        <v>60.911435566636698</v>
      </c>
      <c r="P21" s="6">
        <v>4433.6607478509013</v>
      </c>
      <c r="Q21" s="6">
        <f t="shared" si="3"/>
        <v>2152.5388398901205</v>
      </c>
      <c r="R21" s="6">
        <f t="shared" si="4"/>
        <v>2251.5494534345285</v>
      </c>
    </row>
    <row r="22" spans="1:18" x14ac:dyDescent="0.2">
      <c r="A22" s="33">
        <v>41323</v>
      </c>
      <c r="B22">
        <f t="shared" si="5"/>
        <v>2013</v>
      </c>
      <c r="C22" s="28">
        <v>5528.8374666666696</v>
      </c>
      <c r="D22" s="28">
        <v>2368.4207333333302</v>
      </c>
      <c r="E22" s="28">
        <v>3160.4167333333298</v>
      </c>
      <c r="G22" s="2">
        <f t="shared" si="1"/>
        <v>0.42837590137393722</v>
      </c>
      <c r="J22" s="5">
        <f>2612/3507</f>
        <v>0.74479612204163104</v>
      </c>
      <c r="K22" s="6">
        <f t="shared" si="2"/>
        <v>4117.856704571811</v>
      </c>
      <c r="L22" s="6">
        <f t="shared" si="2"/>
        <v>1763.9905775496602</v>
      </c>
      <c r="M22" s="6">
        <f t="shared" si="2"/>
        <v>2353.8661270221437</v>
      </c>
      <c r="O22" s="6">
        <v>17.973866232778043</v>
      </c>
      <c r="P22" s="6">
        <v>4099.8828383390328</v>
      </c>
      <c r="Q22" s="6">
        <f t="shared" si="3"/>
        <v>1756.2910064010193</v>
      </c>
      <c r="R22" s="6">
        <f t="shared" si="4"/>
        <v>2335.8922607893728</v>
      </c>
    </row>
    <row r="23" spans="1:18" x14ac:dyDescent="0.2">
      <c r="A23" s="33">
        <v>42024</v>
      </c>
      <c r="B23">
        <f t="shared" si="5"/>
        <v>2014</v>
      </c>
      <c r="C23" s="28">
        <v>5753.9732000000004</v>
      </c>
      <c r="D23" s="28">
        <v>2270.7238000000002</v>
      </c>
      <c r="E23" s="28">
        <v>3483.2494000000002</v>
      </c>
      <c r="G23" s="2">
        <f t="shared" si="1"/>
        <v>0.39463579705237417</v>
      </c>
      <c r="J23" s="5">
        <f>10520/14204</f>
        <v>0.74063644043931287</v>
      </c>
      <c r="K23" s="6">
        <f t="shared" si="2"/>
        <v>4261.6022292312027</v>
      </c>
      <c r="L23" s="6">
        <f t="shared" si="2"/>
        <v>1681.7807924528304</v>
      </c>
      <c r="M23" s="6">
        <f t="shared" si="2"/>
        <v>2579.8214367783726</v>
      </c>
      <c r="O23" s="6">
        <v>20.233021513413675</v>
      </c>
      <c r="P23" s="6">
        <v>4241.3692077177893</v>
      </c>
      <c r="Q23" s="6">
        <f t="shared" si="3"/>
        <v>1673.7961178811065</v>
      </c>
      <c r="R23" s="6">
        <f t="shared" si="4"/>
        <v>2559.5884152649587</v>
      </c>
    </row>
    <row r="24" spans="1:18" x14ac:dyDescent="0.2">
      <c r="A24" s="33">
        <v>42371</v>
      </c>
      <c r="B24">
        <f t="shared" si="5"/>
        <v>2015</v>
      </c>
      <c r="C24" s="28">
        <v>5961.0616666666701</v>
      </c>
      <c r="D24" s="28">
        <v>2170.4728666666701</v>
      </c>
      <c r="E24" s="28">
        <v>3790.5888</v>
      </c>
      <c r="G24" s="2">
        <f t="shared" si="1"/>
        <v>0.36410844041483698</v>
      </c>
      <c r="J24" s="5">
        <f>2773/3930</f>
        <v>0.70559796437659028</v>
      </c>
      <c r="K24" s="6">
        <f t="shared" si="2"/>
        <v>4206.1129775233267</v>
      </c>
      <c r="L24" s="6">
        <f t="shared" si="2"/>
        <v>1531.4812364546249</v>
      </c>
      <c r="M24" s="6">
        <f t="shared" si="2"/>
        <v>2674.631741068702</v>
      </c>
      <c r="O24" s="6">
        <v>28.510166677992007</v>
      </c>
      <c r="P24" s="6">
        <v>4177.6028108453347</v>
      </c>
      <c r="Q24" s="6">
        <f t="shared" si="3"/>
        <v>1521.100444129534</v>
      </c>
      <c r="R24" s="6">
        <f t="shared" si="4"/>
        <v>2646.1215743907096</v>
      </c>
    </row>
    <row r="25" spans="1:18" x14ac:dyDescent="0.2">
      <c r="A25" s="33">
        <v>42750</v>
      </c>
      <c r="B25">
        <f t="shared" si="5"/>
        <v>2016</v>
      </c>
      <c r="C25" s="28">
        <v>6267.5389333333296</v>
      </c>
      <c r="D25" s="28">
        <v>2102.2519333333298</v>
      </c>
      <c r="E25" s="28">
        <v>4165.2870000000003</v>
      </c>
      <c r="G25" s="2">
        <f t="shared" si="1"/>
        <v>0.33541904656590105</v>
      </c>
      <c r="J25" s="5">
        <f>4957/6913</f>
        <v>0.71705482424417766</v>
      </c>
      <c r="K25" s="6">
        <f t="shared" si="2"/>
        <v>4494.1690282848713</v>
      </c>
      <c r="L25" s="6">
        <f t="shared" si="2"/>
        <v>1507.4298905733135</v>
      </c>
      <c r="M25" s="6">
        <f t="shared" si="2"/>
        <v>2986.7391377115582</v>
      </c>
      <c r="O25" s="6">
        <v>34.028263454377552</v>
      </c>
      <c r="P25" s="6">
        <v>4460.1407648304939</v>
      </c>
      <c r="Q25" s="6">
        <f t="shared" si="3"/>
        <v>1496.0161628891531</v>
      </c>
      <c r="R25" s="6">
        <f t="shared" si="4"/>
        <v>2952.7108742571804</v>
      </c>
    </row>
    <row r="26" spans="1:18" x14ac:dyDescent="0.2">
      <c r="A26" s="33">
        <v>43115</v>
      </c>
      <c r="B26">
        <v>2017</v>
      </c>
      <c r="C26" s="28">
        <v>7177.6444000000001</v>
      </c>
      <c r="D26" s="28">
        <v>1986.4773333333301</v>
      </c>
      <c r="E26" s="28">
        <v>5191.1670666666696</v>
      </c>
      <c r="G26" s="2">
        <f t="shared" si="1"/>
        <v>0.2767589507963546</v>
      </c>
      <c r="J26" s="5">
        <f>2479/3420</f>
        <v>0.72485380116959064</v>
      </c>
      <c r="K26" s="6">
        <f t="shared" si="2"/>
        <v>5202.7428267836258</v>
      </c>
      <c r="L26" s="6">
        <f t="shared" si="2"/>
        <v>1439.9056460038962</v>
      </c>
      <c r="M26" s="6">
        <f t="shared" si="2"/>
        <v>3762.8371807797294</v>
      </c>
      <c r="O26" s="6">
        <v>47.823505395341442</v>
      </c>
      <c r="P26" s="6">
        <v>5154.9193213882845</v>
      </c>
      <c r="Q26" s="6">
        <f t="shared" si="3"/>
        <v>1426.6700628272779</v>
      </c>
      <c r="R26" s="6">
        <f t="shared" si="4"/>
        <v>3715.0136753843881</v>
      </c>
    </row>
    <row r="27" spans="1:18" x14ac:dyDescent="0.2">
      <c r="A27" s="31"/>
      <c r="B27">
        <v>2018</v>
      </c>
      <c r="C27" s="28">
        <v>7922.3397333333296</v>
      </c>
      <c r="D27" s="28">
        <v>2086.2224000000001</v>
      </c>
      <c r="E27" s="28">
        <v>5836.11733333333</v>
      </c>
      <c r="G27" s="2">
        <f t="shared" si="1"/>
        <v>0.26333412479424445</v>
      </c>
      <c r="J27" s="5">
        <f>2535/3437</f>
        <v>0.73756182717486185</v>
      </c>
      <c r="K27" s="6">
        <f t="shared" si="2"/>
        <v>5843.2153692173388</v>
      </c>
      <c r="L27" s="6">
        <f t="shared" si="2"/>
        <v>1538.7180052371257</v>
      </c>
      <c r="M27" s="6">
        <f t="shared" si="2"/>
        <v>4304.4973639802129</v>
      </c>
      <c r="O27" s="6">
        <v>54.261284967791241</v>
      </c>
      <c r="P27" s="6">
        <v>5788.9540842495471</v>
      </c>
      <c r="Q27" s="6">
        <f t="shared" si="3"/>
        <v>1524.4291572499214</v>
      </c>
      <c r="R27" s="6">
        <f t="shared" si="4"/>
        <v>4250.2360790124212</v>
      </c>
    </row>
    <row r="28" spans="1:18" x14ac:dyDescent="0.2">
      <c r="B28">
        <v>2019</v>
      </c>
      <c r="C28" s="28">
        <v>7401.2212666666701</v>
      </c>
      <c r="D28" s="28">
        <v>2016.2698</v>
      </c>
      <c r="E28" s="28">
        <v>5384.9514666666701</v>
      </c>
      <c r="G28" s="2">
        <f t="shared" si="1"/>
        <v>0.27242393212601235</v>
      </c>
      <c r="J28" s="5">
        <v>0.75190562613430123</v>
      </c>
      <c r="K28" s="6">
        <f t="shared" si="2"/>
        <v>5565.019910671509</v>
      </c>
      <c r="L28" s="6">
        <f t="shared" si="2"/>
        <v>1516.0446064246823</v>
      </c>
      <c r="M28" s="6">
        <f t="shared" si="2"/>
        <v>4048.9753042468265</v>
      </c>
      <c r="O28" s="6">
        <v>73.574623685140651</v>
      </c>
      <c r="P28" s="6">
        <v>5491.445286986368</v>
      </c>
      <c r="Q28" s="6">
        <f t="shared" si="3"/>
        <v>1496.0011181356847</v>
      </c>
      <c r="R28" s="6">
        <f t="shared" si="4"/>
        <v>3975.4006805616855</v>
      </c>
    </row>
    <row r="29" spans="1:18" x14ac:dyDescent="0.2">
      <c r="A29" s="33">
        <v>43886</v>
      </c>
      <c r="B29">
        <v>2020</v>
      </c>
      <c r="C29" s="28">
        <v>6736.92086666667</v>
      </c>
      <c r="D29" s="28">
        <v>1903.84613333333</v>
      </c>
      <c r="E29" s="28">
        <v>4833.0747333333302</v>
      </c>
      <c r="F29" s="2"/>
      <c r="G29" s="2">
        <f t="shared" si="1"/>
        <v>0.28259885651222222</v>
      </c>
      <c r="J29" s="5">
        <v>0.73709581726490658</v>
      </c>
      <c r="K29" s="6">
        <f t="shared" si="2"/>
        <v>4965.7561920646722</v>
      </c>
      <c r="L29" s="6">
        <f t="shared" si="2"/>
        <v>1403.3170215959633</v>
      </c>
      <c r="M29" s="6">
        <f t="shared" si="2"/>
        <v>3562.4391704687014</v>
      </c>
      <c r="O29" s="6">
        <v>77.253354869397697</v>
      </c>
      <c r="P29" s="6">
        <v>4888.5028371952749</v>
      </c>
      <c r="Q29" s="6">
        <f t="shared" si="3"/>
        <v>1381.4853118481387</v>
      </c>
      <c r="R29" s="6">
        <f t="shared" si="4"/>
        <v>3485.1858155993114</v>
      </c>
    </row>
  </sheetData>
  <mergeCells count="1">
    <mergeCell ref="A1:P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02205-3080-394D-90D1-2D50C77C0171}">
  <sheetPr>
    <tabColor theme="8" tint="0.59999389629810485"/>
  </sheetPr>
  <dimension ref="A1:X89"/>
  <sheetViews>
    <sheetView zoomScale="90" zoomScaleNormal="90" workbookViewId="0">
      <selection activeCell="D27" sqref="D27"/>
    </sheetView>
  </sheetViews>
  <sheetFormatPr baseColWidth="10" defaultRowHeight="16" x14ac:dyDescent="0.2"/>
  <sheetData>
    <row r="1" spans="1:24" x14ac:dyDescent="0.2">
      <c r="C1" s="69" t="s">
        <v>158</v>
      </c>
      <c r="D1" s="69"/>
      <c r="E1" s="69"/>
      <c r="F1" s="69"/>
      <c r="G1" s="69"/>
      <c r="H1" s="69"/>
      <c r="I1" s="69"/>
      <c r="J1" s="69"/>
      <c r="K1" s="69"/>
      <c r="L1" s="69"/>
      <c r="M1" s="69"/>
      <c r="N1" s="69"/>
      <c r="O1" s="69"/>
      <c r="P1" s="69"/>
      <c r="Q1" s="69"/>
      <c r="R1" s="69"/>
      <c r="S1" s="69"/>
      <c r="T1" s="69"/>
      <c r="U1" s="69"/>
      <c r="V1" s="69"/>
      <c r="W1" s="69"/>
    </row>
    <row r="2" spans="1:24" x14ac:dyDescent="0.2">
      <c r="B2" s="34" t="s">
        <v>159</v>
      </c>
      <c r="C2" s="34">
        <v>1</v>
      </c>
      <c r="D2" s="34">
        <v>2</v>
      </c>
      <c r="E2" s="34">
        <v>3</v>
      </c>
      <c r="F2" s="34">
        <v>4</v>
      </c>
      <c r="G2" s="34">
        <v>5</v>
      </c>
      <c r="H2" s="34">
        <v>6</v>
      </c>
      <c r="I2" s="34">
        <v>7</v>
      </c>
      <c r="J2" s="34">
        <v>8</v>
      </c>
      <c r="K2" s="34">
        <v>9</v>
      </c>
      <c r="L2" s="34">
        <v>10</v>
      </c>
      <c r="M2" s="34">
        <v>11</v>
      </c>
      <c r="N2" s="34">
        <v>12</v>
      </c>
      <c r="O2" s="34">
        <v>13</v>
      </c>
      <c r="P2" s="34">
        <v>14</v>
      </c>
      <c r="Q2" s="34">
        <v>15</v>
      </c>
      <c r="R2" s="34">
        <v>16</v>
      </c>
      <c r="S2" s="34">
        <v>17</v>
      </c>
      <c r="T2" s="34">
        <v>18</v>
      </c>
      <c r="U2" s="34">
        <v>19</v>
      </c>
      <c r="V2" s="34" t="s">
        <v>160</v>
      </c>
      <c r="X2" t="s">
        <v>161</v>
      </c>
    </row>
    <row r="3" spans="1:24" x14ac:dyDescent="0.2">
      <c r="B3" s="34">
        <v>1995</v>
      </c>
      <c r="C3">
        <v>830</v>
      </c>
      <c r="D3">
        <v>795</v>
      </c>
      <c r="E3">
        <v>767</v>
      </c>
      <c r="F3">
        <v>678</v>
      </c>
      <c r="G3">
        <v>419</v>
      </c>
      <c r="H3">
        <v>236</v>
      </c>
      <c r="I3">
        <v>373</v>
      </c>
      <c r="J3">
        <v>282</v>
      </c>
      <c r="K3">
        <v>263</v>
      </c>
      <c r="L3">
        <v>202</v>
      </c>
      <c r="M3">
        <v>159</v>
      </c>
      <c r="N3">
        <v>152</v>
      </c>
      <c r="O3">
        <v>110</v>
      </c>
      <c r="P3">
        <v>86</v>
      </c>
      <c r="Q3">
        <v>89</v>
      </c>
      <c r="R3">
        <v>39</v>
      </c>
      <c r="S3">
        <v>14</v>
      </c>
      <c r="T3">
        <v>15</v>
      </c>
      <c r="U3">
        <v>7</v>
      </c>
      <c r="V3">
        <v>4</v>
      </c>
      <c r="X3">
        <f>SUM(C3:V3)</f>
        <v>5520</v>
      </c>
    </row>
    <row r="4" spans="1:24" x14ac:dyDescent="0.2">
      <c r="B4" s="34">
        <v>1996</v>
      </c>
      <c r="C4">
        <v>958</v>
      </c>
      <c r="D4">
        <v>830</v>
      </c>
      <c r="E4">
        <v>795</v>
      </c>
      <c r="F4">
        <v>767</v>
      </c>
      <c r="G4">
        <v>678</v>
      </c>
      <c r="H4">
        <v>417</v>
      </c>
      <c r="I4">
        <v>236</v>
      </c>
      <c r="J4">
        <v>372</v>
      </c>
      <c r="K4">
        <v>282</v>
      </c>
      <c r="L4">
        <v>263</v>
      </c>
      <c r="M4">
        <v>201</v>
      </c>
      <c r="N4">
        <v>157</v>
      </c>
      <c r="O4">
        <v>152</v>
      </c>
      <c r="P4">
        <v>110</v>
      </c>
      <c r="Q4">
        <v>86</v>
      </c>
      <c r="R4">
        <v>86</v>
      </c>
      <c r="S4">
        <v>36</v>
      </c>
      <c r="T4">
        <v>13</v>
      </c>
      <c r="U4">
        <v>12</v>
      </c>
      <c r="V4">
        <v>6</v>
      </c>
      <c r="X4">
        <f t="shared" ref="X4:X21" si="0">SUM(C4:V4)</f>
        <v>6457</v>
      </c>
    </row>
    <row r="5" spans="1:24" x14ac:dyDescent="0.2">
      <c r="B5" s="34">
        <v>1997</v>
      </c>
      <c r="C5">
        <v>537</v>
      </c>
      <c r="D5">
        <v>821</v>
      </c>
      <c r="E5">
        <v>757</v>
      </c>
      <c r="F5">
        <v>705</v>
      </c>
      <c r="G5">
        <v>668</v>
      </c>
      <c r="H5">
        <v>598</v>
      </c>
      <c r="I5">
        <v>371</v>
      </c>
      <c r="J5">
        <v>203</v>
      </c>
      <c r="K5">
        <v>315</v>
      </c>
      <c r="L5">
        <v>254</v>
      </c>
      <c r="M5">
        <v>235</v>
      </c>
      <c r="N5">
        <v>165</v>
      </c>
      <c r="O5">
        <v>130</v>
      </c>
      <c r="P5">
        <v>125</v>
      </c>
      <c r="Q5">
        <v>88</v>
      </c>
      <c r="R5">
        <v>63</v>
      </c>
      <c r="S5">
        <v>53</v>
      </c>
      <c r="T5">
        <v>20</v>
      </c>
      <c r="U5">
        <v>8</v>
      </c>
      <c r="V5">
        <v>7</v>
      </c>
      <c r="X5">
        <f t="shared" si="0"/>
        <v>6123</v>
      </c>
    </row>
    <row r="6" spans="1:24" x14ac:dyDescent="0.2">
      <c r="B6" s="34">
        <v>1998</v>
      </c>
      <c r="C6">
        <v>307</v>
      </c>
      <c r="D6">
        <v>385</v>
      </c>
      <c r="E6">
        <v>664</v>
      </c>
      <c r="F6">
        <v>547</v>
      </c>
      <c r="G6">
        <v>501</v>
      </c>
      <c r="H6">
        <v>480</v>
      </c>
      <c r="I6">
        <v>419</v>
      </c>
      <c r="J6">
        <v>248</v>
      </c>
      <c r="K6">
        <v>155</v>
      </c>
      <c r="L6">
        <v>220</v>
      </c>
      <c r="M6">
        <v>188</v>
      </c>
      <c r="N6">
        <v>159</v>
      </c>
      <c r="O6">
        <v>117</v>
      </c>
      <c r="P6">
        <v>88</v>
      </c>
      <c r="Q6">
        <v>74</v>
      </c>
      <c r="R6">
        <v>50</v>
      </c>
      <c r="S6">
        <v>30</v>
      </c>
      <c r="T6">
        <v>20</v>
      </c>
      <c r="U6">
        <v>3</v>
      </c>
      <c r="V6">
        <v>1</v>
      </c>
      <c r="X6">
        <f t="shared" si="0"/>
        <v>4656</v>
      </c>
    </row>
    <row r="7" spans="1:24" x14ac:dyDescent="0.2">
      <c r="B7" s="34">
        <v>1999</v>
      </c>
      <c r="C7">
        <v>357</v>
      </c>
      <c r="D7">
        <v>259</v>
      </c>
      <c r="E7">
        <v>343</v>
      </c>
      <c r="F7">
        <v>537</v>
      </c>
      <c r="G7">
        <v>454</v>
      </c>
      <c r="H7">
        <v>416</v>
      </c>
      <c r="I7">
        <v>386</v>
      </c>
      <c r="J7">
        <v>340</v>
      </c>
      <c r="K7">
        <v>205</v>
      </c>
      <c r="L7">
        <v>127</v>
      </c>
      <c r="M7">
        <v>186</v>
      </c>
      <c r="N7">
        <v>160</v>
      </c>
      <c r="O7">
        <v>130</v>
      </c>
      <c r="P7">
        <v>85</v>
      </c>
      <c r="Q7">
        <v>64</v>
      </c>
      <c r="R7">
        <v>56</v>
      </c>
      <c r="S7">
        <v>39</v>
      </c>
      <c r="T7">
        <v>24</v>
      </c>
      <c r="U7">
        <v>11</v>
      </c>
      <c r="V7">
        <v>0</v>
      </c>
      <c r="X7">
        <f t="shared" si="0"/>
        <v>4179</v>
      </c>
    </row>
    <row r="8" spans="1:24" x14ac:dyDescent="0.2">
      <c r="B8" s="34">
        <v>2000</v>
      </c>
      <c r="C8">
        <v>290</v>
      </c>
      <c r="D8">
        <v>250</v>
      </c>
      <c r="E8">
        <v>192</v>
      </c>
      <c r="F8">
        <v>243</v>
      </c>
      <c r="G8">
        <v>394</v>
      </c>
      <c r="H8">
        <v>335</v>
      </c>
      <c r="I8">
        <v>315</v>
      </c>
      <c r="J8">
        <v>295</v>
      </c>
      <c r="K8">
        <v>247</v>
      </c>
      <c r="L8">
        <v>161</v>
      </c>
      <c r="M8">
        <v>95</v>
      </c>
      <c r="N8">
        <v>133</v>
      </c>
      <c r="O8">
        <v>127</v>
      </c>
      <c r="P8">
        <v>96</v>
      </c>
      <c r="Q8">
        <v>62</v>
      </c>
      <c r="R8">
        <v>43</v>
      </c>
      <c r="S8">
        <v>33</v>
      </c>
      <c r="T8">
        <v>18</v>
      </c>
      <c r="U8">
        <v>15</v>
      </c>
      <c r="V8">
        <v>4</v>
      </c>
      <c r="X8">
        <f t="shared" si="0"/>
        <v>3348</v>
      </c>
    </row>
    <row r="9" spans="1:24" x14ac:dyDescent="0.2">
      <c r="B9" s="34">
        <v>2001</v>
      </c>
      <c r="C9">
        <v>274</v>
      </c>
      <c r="D9">
        <v>225</v>
      </c>
      <c r="E9">
        <v>218</v>
      </c>
      <c r="F9">
        <v>156</v>
      </c>
      <c r="G9">
        <v>197</v>
      </c>
      <c r="H9">
        <v>326</v>
      </c>
      <c r="I9">
        <v>295</v>
      </c>
      <c r="J9">
        <v>272</v>
      </c>
      <c r="K9">
        <v>236</v>
      </c>
      <c r="L9">
        <v>218</v>
      </c>
      <c r="M9">
        <v>137</v>
      </c>
      <c r="N9">
        <v>79</v>
      </c>
      <c r="O9">
        <v>107</v>
      </c>
      <c r="P9">
        <v>109</v>
      </c>
      <c r="Q9">
        <v>75</v>
      </c>
      <c r="R9">
        <v>45</v>
      </c>
      <c r="S9">
        <v>31</v>
      </c>
      <c r="T9">
        <v>23</v>
      </c>
      <c r="U9">
        <v>8</v>
      </c>
      <c r="V9">
        <v>10</v>
      </c>
      <c r="X9">
        <f t="shared" si="0"/>
        <v>3041</v>
      </c>
    </row>
    <row r="10" spans="1:24" x14ac:dyDescent="0.2">
      <c r="B10" s="34">
        <v>2002</v>
      </c>
      <c r="C10">
        <v>238</v>
      </c>
      <c r="D10">
        <v>172</v>
      </c>
      <c r="E10">
        <v>182</v>
      </c>
      <c r="F10">
        <v>164</v>
      </c>
      <c r="G10">
        <v>120</v>
      </c>
      <c r="H10">
        <v>141</v>
      </c>
      <c r="I10">
        <v>248</v>
      </c>
      <c r="J10">
        <v>228</v>
      </c>
      <c r="K10">
        <v>219</v>
      </c>
      <c r="L10">
        <v>180</v>
      </c>
      <c r="M10">
        <v>163</v>
      </c>
      <c r="N10">
        <v>109</v>
      </c>
      <c r="O10">
        <v>61</v>
      </c>
      <c r="P10">
        <v>77</v>
      </c>
      <c r="Q10">
        <v>81</v>
      </c>
      <c r="R10">
        <v>50</v>
      </c>
      <c r="S10">
        <v>25</v>
      </c>
      <c r="T10">
        <v>17</v>
      </c>
      <c r="U10">
        <v>9</v>
      </c>
      <c r="V10">
        <v>2</v>
      </c>
      <c r="X10">
        <f t="shared" si="0"/>
        <v>2486</v>
      </c>
    </row>
    <row r="11" spans="1:24" x14ac:dyDescent="0.2">
      <c r="B11" s="34">
        <v>2003</v>
      </c>
      <c r="C11">
        <v>108</v>
      </c>
      <c r="D11">
        <v>154</v>
      </c>
      <c r="E11">
        <v>129</v>
      </c>
      <c r="F11">
        <v>117</v>
      </c>
      <c r="G11">
        <v>109</v>
      </c>
      <c r="H11">
        <v>71</v>
      </c>
      <c r="I11">
        <v>95</v>
      </c>
      <c r="J11">
        <v>173</v>
      </c>
      <c r="K11">
        <v>171</v>
      </c>
      <c r="L11">
        <v>169</v>
      </c>
      <c r="M11">
        <v>141</v>
      </c>
      <c r="N11">
        <v>123</v>
      </c>
      <c r="O11">
        <v>87</v>
      </c>
      <c r="P11">
        <v>48</v>
      </c>
      <c r="Q11">
        <v>51</v>
      </c>
      <c r="R11">
        <v>56</v>
      </c>
      <c r="S11">
        <v>37</v>
      </c>
      <c r="T11">
        <v>17</v>
      </c>
      <c r="U11">
        <v>8</v>
      </c>
      <c r="V11">
        <v>4</v>
      </c>
      <c r="X11">
        <f t="shared" si="0"/>
        <v>1868</v>
      </c>
    </row>
    <row r="12" spans="1:24" x14ac:dyDescent="0.2">
      <c r="B12" s="34">
        <v>2004</v>
      </c>
      <c r="C12">
        <v>89</v>
      </c>
      <c r="D12">
        <v>84</v>
      </c>
      <c r="E12">
        <v>119</v>
      </c>
      <c r="F12">
        <v>100</v>
      </c>
      <c r="G12">
        <v>82</v>
      </c>
      <c r="H12">
        <v>80</v>
      </c>
      <c r="I12">
        <v>55</v>
      </c>
      <c r="J12">
        <v>71</v>
      </c>
      <c r="K12">
        <v>137</v>
      </c>
      <c r="L12">
        <v>138</v>
      </c>
      <c r="M12">
        <v>134</v>
      </c>
      <c r="N12">
        <v>110</v>
      </c>
      <c r="O12">
        <v>92</v>
      </c>
      <c r="P12">
        <v>72</v>
      </c>
      <c r="Q12">
        <v>33</v>
      </c>
      <c r="R12">
        <v>36</v>
      </c>
      <c r="S12">
        <v>39</v>
      </c>
      <c r="T12">
        <v>19</v>
      </c>
      <c r="U12">
        <v>7</v>
      </c>
      <c r="V12">
        <v>2</v>
      </c>
      <c r="X12">
        <f t="shared" si="0"/>
        <v>1499</v>
      </c>
    </row>
    <row r="13" spans="1:24" x14ac:dyDescent="0.2">
      <c r="B13" s="34">
        <v>2005</v>
      </c>
      <c r="C13">
        <v>67</v>
      </c>
      <c r="D13">
        <v>58</v>
      </c>
      <c r="E13">
        <v>66</v>
      </c>
      <c r="F13">
        <v>82</v>
      </c>
      <c r="G13">
        <v>65</v>
      </c>
      <c r="H13">
        <v>58</v>
      </c>
      <c r="I13">
        <v>52</v>
      </c>
      <c r="J13">
        <v>44</v>
      </c>
      <c r="K13">
        <v>51</v>
      </c>
      <c r="L13">
        <v>104</v>
      </c>
      <c r="M13">
        <v>114</v>
      </c>
      <c r="N13">
        <v>103</v>
      </c>
      <c r="O13">
        <v>81</v>
      </c>
      <c r="P13">
        <v>68</v>
      </c>
      <c r="Q13">
        <v>56</v>
      </c>
      <c r="R13">
        <v>22</v>
      </c>
      <c r="S13">
        <v>21</v>
      </c>
      <c r="T13">
        <v>24</v>
      </c>
      <c r="U13">
        <v>10</v>
      </c>
      <c r="V13">
        <v>3</v>
      </c>
      <c r="X13">
        <f t="shared" si="0"/>
        <v>1149</v>
      </c>
    </row>
    <row r="14" spans="1:24" x14ac:dyDescent="0.2">
      <c r="B14" s="34">
        <v>2006</v>
      </c>
      <c r="C14">
        <v>46</v>
      </c>
      <c r="D14">
        <v>48</v>
      </c>
      <c r="E14">
        <v>37</v>
      </c>
      <c r="F14">
        <v>43</v>
      </c>
      <c r="G14">
        <v>52</v>
      </c>
      <c r="H14">
        <v>46</v>
      </c>
      <c r="I14">
        <v>48</v>
      </c>
      <c r="J14">
        <v>46</v>
      </c>
      <c r="K14">
        <v>32</v>
      </c>
      <c r="L14">
        <v>36</v>
      </c>
      <c r="M14">
        <v>75</v>
      </c>
      <c r="N14">
        <v>93</v>
      </c>
      <c r="O14">
        <v>74</v>
      </c>
      <c r="P14">
        <v>66</v>
      </c>
      <c r="Q14">
        <v>47</v>
      </c>
      <c r="R14">
        <v>36</v>
      </c>
      <c r="S14">
        <v>14</v>
      </c>
      <c r="T14">
        <v>13</v>
      </c>
      <c r="U14">
        <v>14</v>
      </c>
      <c r="V14">
        <v>3</v>
      </c>
      <c r="X14">
        <f t="shared" si="0"/>
        <v>869</v>
      </c>
    </row>
    <row r="15" spans="1:24" x14ac:dyDescent="0.2">
      <c r="B15" s="34">
        <v>2007</v>
      </c>
      <c r="C15">
        <v>29</v>
      </c>
      <c r="D15">
        <v>38</v>
      </c>
      <c r="E15">
        <v>42</v>
      </c>
      <c r="F15">
        <v>33</v>
      </c>
      <c r="G15">
        <v>40</v>
      </c>
      <c r="H15">
        <v>47</v>
      </c>
      <c r="I15">
        <v>44</v>
      </c>
      <c r="J15">
        <v>40</v>
      </c>
      <c r="K15">
        <v>45</v>
      </c>
      <c r="L15">
        <v>31</v>
      </c>
      <c r="M15">
        <v>33</v>
      </c>
      <c r="N15">
        <v>71</v>
      </c>
      <c r="O15">
        <v>88</v>
      </c>
      <c r="P15">
        <v>67</v>
      </c>
      <c r="Q15">
        <v>59</v>
      </c>
      <c r="R15">
        <v>36</v>
      </c>
      <c r="S15">
        <v>28</v>
      </c>
      <c r="T15">
        <v>10</v>
      </c>
      <c r="U15">
        <v>7</v>
      </c>
      <c r="V15">
        <v>9</v>
      </c>
      <c r="X15">
        <f t="shared" si="0"/>
        <v>797</v>
      </c>
    </row>
    <row r="16" spans="1:24" x14ac:dyDescent="0.2">
      <c r="B16" s="34">
        <v>2008</v>
      </c>
      <c r="C16">
        <v>28</v>
      </c>
      <c r="D16">
        <v>29</v>
      </c>
      <c r="E16">
        <v>35</v>
      </c>
      <c r="F16">
        <v>37</v>
      </c>
      <c r="G16">
        <v>31</v>
      </c>
      <c r="H16">
        <v>37</v>
      </c>
      <c r="I16">
        <v>44</v>
      </c>
      <c r="J16">
        <v>38</v>
      </c>
      <c r="K16">
        <v>40</v>
      </c>
      <c r="L16">
        <v>42</v>
      </c>
      <c r="M16">
        <v>29</v>
      </c>
      <c r="N16">
        <v>33</v>
      </c>
      <c r="O16">
        <v>63</v>
      </c>
      <c r="P16">
        <v>80</v>
      </c>
      <c r="Q16">
        <v>57</v>
      </c>
      <c r="R16">
        <v>49</v>
      </c>
      <c r="S16">
        <v>26</v>
      </c>
      <c r="T16">
        <v>24</v>
      </c>
      <c r="U16">
        <v>6</v>
      </c>
      <c r="V16">
        <v>3</v>
      </c>
      <c r="X16">
        <f t="shared" si="0"/>
        <v>731</v>
      </c>
    </row>
    <row r="17" spans="2:24" x14ac:dyDescent="0.2">
      <c r="B17" s="34">
        <v>2009</v>
      </c>
      <c r="C17">
        <v>14</v>
      </c>
      <c r="D17">
        <v>24</v>
      </c>
      <c r="E17">
        <v>26</v>
      </c>
      <c r="F17">
        <v>29</v>
      </c>
      <c r="G17">
        <v>32</v>
      </c>
      <c r="H17">
        <v>27</v>
      </c>
      <c r="I17">
        <v>32</v>
      </c>
      <c r="J17">
        <v>40</v>
      </c>
      <c r="K17">
        <v>35</v>
      </c>
      <c r="L17">
        <v>36</v>
      </c>
      <c r="M17">
        <v>33</v>
      </c>
      <c r="N17">
        <v>24</v>
      </c>
      <c r="O17">
        <v>30</v>
      </c>
      <c r="P17">
        <v>51</v>
      </c>
      <c r="Q17">
        <v>60</v>
      </c>
      <c r="R17">
        <v>42</v>
      </c>
      <c r="S17">
        <v>31</v>
      </c>
      <c r="T17">
        <v>10</v>
      </c>
      <c r="U17">
        <v>8</v>
      </c>
      <c r="V17">
        <v>3</v>
      </c>
      <c r="X17">
        <f t="shared" si="0"/>
        <v>587</v>
      </c>
    </row>
    <row r="18" spans="2:24" x14ac:dyDescent="0.2">
      <c r="B18" s="34">
        <v>2010</v>
      </c>
      <c r="C18">
        <v>15</v>
      </c>
      <c r="D18">
        <v>12</v>
      </c>
      <c r="E18">
        <v>21</v>
      </c>
      <c r="F18">
        <v>18</v>
      </c>
      <c r="G18">
        <v>22</v>
      </c>
      <c r="H18">
        <v>25</v>
      </c>
      <c r="I18">
        <v>23</v>
      </c>
      <c r="J18">
        <v>25</v>
      </c>
      <c r="K18">
        <v>35</v>
      </c>
      <c r="L18">
        <v>30</v>
      </c>
      <c r="M18">
        <v>31</v>
      </c>
      <c r="N18">
        <v>28</v>
      </c>
      <c r="O18">
        <v>21</v>
      </c>
      <c r="P18">
        <v>25</v>
      </c>
      <c r="Q18">
        <v>46</v>
      </c>
      <c r="R18">
        <v>48</v>
      </c>
      <c r="S18">
        <v>25</v>
      </c>
      <c r="T18">
        <v>23</v>
      </c>
      <c r="U18">
        <v>5</v>
      </c>
      <c r="V18">
        <v>1</v>
      </c>
      <c r="X18">
        <f t="shared" si="0"/>
        <v>479</v>
      </c>
    </row>
    <row r="19" spans="2:24" x14ac:dyDescent="0.2">
      <c r="B19" s="34">
        <v>2011</v>
      </c>
      <c r="C19">
        <v>24</v>
      </c>
      <c r="D19">
        <v>12</v>
      </c>
      <c r="E19">
        <v>11</v>
      </c>
      <c r="F19">
        <v>21</v>
      </c>
      <c r="G19">
        <v>18</v>
      </c>
      <c r="H19">
        <v>22</v>
      </c>
      <c r="I19">
        <v>25</v>
      </c>
      <c r="J19">
        <v>22</v>
      </c>
      <c r="K19">
        <v>25</v>
      </c>
      <c r="L19">
        <v>34</v>
      </c>
      <c r="M19">
        <v>29</v>
      </c>
      <c r="N19">
        <v>29</v>
      </c>
      <c r="O19">
        <v>27</v>
      </c>
      <c r="P19">
        <v>19</v>
      </c>
      <c r="Q19">
        <v>23</v>
      </c>
      <c r="R19">
        <v>39</v>
      </c>
      <c r="S19">
        <v>39</v>
      </c>
      <c r="T19">
        <v>17</v>
      </c>
      <c r="U19">
        <v>12</v>
      </c>
      <c r="V19">
        <v>2</v>
      </c>
      <c r="X19">
        <f t="shared" si="0"/>
        <v>450</v>
      </c>
    </row>
    <row r="20" spans="2:24" x14ac:dyDescent="0.2">
      <c r="B20" s="34">
        <v>2012</v>
      </c>
      <c r="C20">
        <v>11</v>
      </c>
      <c r="D20">
        <v>22</v>
      </c>
      <c r="E20">
        <v>12</v>
      </c>
      <c r="F20">
        <v>11</v>
      </c>
      <c r="G20">
        <v>21</v>
      </c>
      <c r="H20">
        <v>16</v>
      </c>
      <c r="I20">
        <v>19</v>
      </c>
      <c r="J20">
        <v>23</v>
      </c>
      <c r="K20">
        <v>20</v>
      </c>
      <c r="L20">
        <v>24</v>
      </c>
      <c r="M20">
        <v>27</v>
      </c>
      <c r="N20">
        <v>26</v>
      </c>
      <c r="O20">
        <v>26</v>
      </c>
      <c r="P20">
        <v>21</v>
      </c>
      <c r="Q20">
        <v>15</v>
      </c>
      <c r="R20">
        <v>16</v>
      </c>
      <c r="S20">
        <v>19</v>
      </c>
      <c r="T20">
        <v>21</v>
      </c>
      <c r="U20">
        <v>8</v>
      </c>
      <c r="V20">
        <v>4</v>
      </c>
      <c r="X20">
        <f t="shared" si="0"/>
        <v>362</v>
      </c>
    </row>
    <row r="21" spans="2:24" x14ac:dyDescent="0.2">
      <c r="B21" s="34">
        <v>2013</v>
      </c>
      <c r="C21">
        <v>14</v>
      </c>
      <c r="D21">
        <v>11</v>
      </c>
      <c r="E21">
        <v>20</v>
      </c>
      <c r="F21">
        <v>11</v>
      </c>
      <c r="G21">
        <v>10</v>
      </c>
      <c r="H21">
        <v>21</v>
      </c>
      <c r="I21">
        <v>16</v>
      </c>
      <c r="J21">
        <v>19</v>
      </c>
      <c r="K21">
        <v>23</v>
      </c>
      <c r="L21">
        <v>19</v>
      </c>
      <c r="M21">
        <v>24</v>
      </c>
      <c r="N21">
        <v>27</v>
      </c>
      <c r="O21">
        <v>25</v>
      </c>
      <c r="P21">
        <v>26</v>
      </c>
      <c r="Q21">
        <v>17</v>
      </c>
      <c r="R21">
        <v>15</v>
      </c>
      <c r="S21">
        <v>10</v>
      </c>
      <c r="T21">
        <v>14</v>
      </c>
      <c r="U21">
        <v>12</v>
      </c>
      <c r="V21">
        <v>6</v>
      </c>
      <c r="X21">
        <f t="shared" si="0"/>
        <v>340</v>
      </c>
    </row>
    <row r="23" spans="2:24" x14ac:dyDescent="0.2">
      <c r="C23" s="70" t="s">
        <v>162</v>
      </c>
      <c r="D23" s="70"/>
      <c r="E23" s="70"/>
      <c r="F23" s="70"/>
      <c r="G23" s="70"/>
      <c r="H23" s="70"/>
      <c r="I23" s="70"/>
      <c r="J23" s="70"/>
      <c r="K23" s="70"/>
      <c r="L23" s="70"/>
      <c r="M23" s="70"/>
      <c r="N23" s="70"/>
      <c r="O23" s="70"/>
      <c r="P23" s="70"/>
      <c r="Q23" s="70"/>
      <c r="R23" s="70"/>
      <c r="S23" s="70"/>
      <c r="T23" s="70"/>
      <c r="U23" s="70"/>
      <c r="V23" s="70"/>
      <c r="W23" s="70"/>
    </row>
    <row r="24" spans="2:24" x14ac:dyDescent="0.2">
      <c r="B24" s="34" t="s">
        <v>159</v>
      </c>
      <c r="C24" s="34">
        <v>1</v>
      </c>
      <c r="D24" s="34">
        <v>2</v>
      </c>
      <c r="E24" s="34">
        <v>3</v>
      </c>
      <c r="F24" s="34">
        <v>4</v>
      </c>
      <c r="G24" s="34">
        <v>5</v>
      </c>
      <c r="H24" s="34">
        <v>6</v>
      </c>
      <c r="I24" s="34">
        <v>7</v>
      </c>
      <c r="J24" s="34">
        <v>8</v>
      </c>
      <c r="K24" s="34">
        <v>9</v>
      </c>
      <c r="L24" s="34">
        <v>10</v>
      </c>
      <c r="M24" s="34">
        <v>11</v>
      </c>
      <c r="N24" s="34">
        <v>12</v>
      </c>
      <c r="O24" s="34">
        <v>13</v>
      </c>
      <c r="P24" s="34">
        <v>14</v>
      </c>
      <c r="Q24" s="34">
        <v>15</v>
      </c>
      <c r="R24" s="34">
        <v>16</v>
      </c>
      <c r="S24" s="34">
        <v>17</v>
      </c>
      <c r="T24" s="34">
        <v>18</v>
      </c>
      <c r="U24" s="34">
        <v>19</v>
      </c>
      <c r="V24" s="34" t="s">
        <v>160</v>
      </c>
    </row>
    <row r="25" spans="2:24" x14ac:dyDescent="0.2">
      <c r="B25" s="34">
        <v>1995</v>
      </c>
      <c r="C25" s="5">
        <f>C3/$X3</f>
        <v>0.15036231884057971</v>
      </c>
      <c r="D25" s="5">
        <f t="shared" ref="D25:V40" si="1">D3/$X3</f>
        <v>0.14402173913043478</v>
      </c>
      <c r="E25" s="5">
        <f t="shared" si="1"/>
        <v>0.13894927536231885</v>
      </c>
      <c r="F25" s="5">
        <f t="shared" si="1"/>
        <v>0.12282608695652174</v>
      </c>
      <c r="G25" s="5">
        <f t="shared" si="1"/>
        <v>7.5905797101449277E-2</v>
      </c>
      <c r="H25" s="5">
        <f t="shared" si="1"/>
        <v>4.2753623188405795E-2</v>
      </c>
      <c r="I25" s="5">
        <f t="shared" si="1"/>
        <v>6.7572463768115945E-2</v>
      </c>
      <c r="J25" s="5">
        <f t="shared" si="1"/>
        <v>5.1086956521739134E-2</v>
      </c>
      <c r="K25" s="5">
        <f t="shared" si="1"/>
        <v>4.7644927536231882E-2</v>
      </c>
      <c r="L25" s="5">
        <f t="shared" si="1"/>
        <v>3.6594202898550726E-2</v>
      </c>
      <c r="M25" s="5">
        <f t="shared" si="1"/>
        <v>2.8804347826086957E-2</v>
      </c>
      <c r="N25" s="5">
        <f t="shared" si="1"/>
        <v>2.753623188405797E-2</v>
      </c>
      <c r="O25" s="5">
        <f t="shared" si="1"/>
        <v>1.9927536231884056E-2</v>
      </c>
      <c r="P25" s="5">
        <f t="shared" si="1"/>
        <v>1.5579710144927537E-2</v>
      </c>
      <c r="Q25" s="5">
        <f t="shared" si="1"/>
        <v>1.6123188405797101E-2</v>
      </c>
      <c r="R25" s="5">
        <f t="shared" si="1"/>
        <v>7.0652173913043478E-3</v>
      </c>
      <c r="S25" s="5">
        <f t="shared" si="1"/>
        <v>2.5362318840579708E-3</v>
      </c>
      <c r="T25" s="5">
        <f t="shared" si="1"/>
        <v>2.717391304347826E-3</v>
      </c>
      <c r="U25" s="5">
        <f t="shared" si="1"/>
        <v>1.2681159420289854E-3</v>
      </c>
      <c r="V25" s="5">
        <f t="shared" si="1"/>
        <v>7.246376811594203E-4</v>
      </c>
      <c r="W25" s="5"/>
    </row>
    <row r="26" spans="2:24" x14ac:dyDescent="0.2">
      <c r="B26" s="34">
        <v>1996</v>
      </c>
      <c r="C26" s="5">
        <f>C4/$X4</f>
        <v>0.14836611429456403</v>
      </c>
      <c r="D26" s="5">
        <f t="shared" si="1"/>
        <v>0.1285426668731609</v>
      </c>
      <c r="E26" s="5">
        <f t="shared" si="1"/>
        <v>0.12312219296887099</v>
      </c>
      <c r="F26" s="5">
        <f t="shared" si="1"/>
        <v>0.11878581384543906</v>
      </c>
      <c r="G26" s="5">
        <f t="shared" si="1"/>
        <v>0.10500232306024469</v>
      </c>
      <c r="H26" s="5">
        <f t="shared" si="1"/>
        <v>6.4581074802539884E-2</v>
      </c>
      <c r="I26" s="5">
        <f t="shared" si="1"/>
        <v>3.6549481183212017E-2</v>
      </c>
      <c r="J26" s="5">
        <f t="shared" si="1"/>
        <v>5.7611894068452844E-2</v>
      </c>
      <c r="K26" s="5">
        <f t="shared" si="1"/>
        <v>4.3673532600278765E-2</v>
      </c>
      <c r="L26" s="5">
        <f t="shared" si="1"/>
        <v>4.073098962366424E-2</v>
      </c>
      <c r="M26" s="5">
        <f t="shared" si="1"/>
        <v>3.1129007278922101E-2</v>
      </c>
      <c r="N26" s="5">
        <f t="shared" si="1"/>
        <v>2.4314697227814774E-2</v>
      </c>
      <c r="O26" s="5">
        <f t="shared" si="1"/>
        <v>2.3540343812916215E-2</v>
      </c>
      <c r="P26" s="5">
        <f t="shared" si="1"/>
        <v>1.7035775127768313E-2</v>
      </c>
      <c r="Q26" s="5">
        <f t="shared" si="1"/>
        <v>1.3318878736255226E-2</v>
      </c>
      <c r="R26" s="5">
        <f t="shared" si="1"/>
        <v>1.3318878736255226E-2</v>
      </c>
      <c r="S26" s="5">
        <f t="shared" si="1"/>
        <v>5.5753445872696299E-3</v>
      </c>
      <c r="T26" s="5">
        <f t="shared" si="1"/>
        <v>2.0133188787362553E-3</v>
      </c>
      <c r="U26" s="5">
        <f t="shared" si="1"/>
        <v>1.8584481957565433E-3</v>
      </c>
      <c r="V26" s="5">
        <f t="shared" si="1"/>
        <v>9.2922409787827166E-4</v>
      </c>
      <c r="W26" s="5"/>
    </row>
    <row r="27" spans="2:24" x14ac:dyDescent="0.2">
      <c r="B27" s="34">
        <v>1997</v>
      </c>
      <c r="C27" s="5">
        <f t="shared" ref="C27:R42" si="2">C5/$X5</f>
        <v>8.7702106810387065E-2</v>
      </c>
      <c r="D27" s="5">
        <f t="shared" si="2"/>
        <v>0.13408459905275191</v>
      </c>
      <c r="E27" s="5">
        <f t="shared" si="2"/>
        <v>0.1236322064347542</v>
      </c>
      <c r="F27" s="5">
        <f t="shared" si="2"/>
        <v>0.11513963743263106</v>
      </c>
      <c r="G27" s="5">
        <f t="shared" si="2"/>
        <v>0.10909684795035114</v>
      </c>
      <c r="H27" s="5">
        <f t="shared" si="2"/>
        <v>9.7664543524416142E-2</v>
      </c>
      <c r="I27" s="5">
        <f t="shared" si="2"/>
        <v>6.0591213457455495E-2</v>
      </c>
      <c r="J27" s="5">
        <f t="shared" si="2"/>
        <v>3.3153682835211501E-2</v>
      </c>
      <c r="K27" s="5">
        <f t="shared" si="2"/>
        <v>5.1445369916707499E-2</v>
      </c>
      <c r="L27" s="5">
        <f t="shared" si="2"/>
        <v>4.1482933202678422E-2</v>
      </c>
      <c r="M27" s="5">
        <f t="shared" si="2"/>
        <v>3.8379879144210358E-2</v>
      </c>
      <c r="N27" s="5">
        <f t="shared" si="2"/>
        <v>2.6947574718275354E-2</v>
      </c>
      <c r="O27" s="5">
        <f t="shared" si="2"/>
        <v>2.1231422505307854E-2</v>
      </c>
      <c r="P27" s="5">
        <f t="shared" si="2"/>
        <v>2.0414829332026783E-2</v>
      </c>
      <c r="Q27" s="5">
        <f t="shared" si="2"/>
        <v>1.4372039849746856E-2</v>
      </c>
      <c r="R27" s="5">
        <f t="shared" si="2"/>
        <v>1.02890739833415E-2</v>
      </c>
      <c r="S27" s="5">
        <f t="shared" si="1"/>
        <v>8.6558876367793559E-3</v>
      </c>
      <c r="T27" s="5">
        <f t="shared" si="1"/>
        <v>3.2663726931242854E-3</v>
      </c>
      <c r="U27" s="5">
        <f t="shared" si="1"/>
        <v>1.3065490772497142E-3</v>
      </c>
      <c r="V27" s="5">
        <f t="shared" si="1"/>
        <v>1.1432304425934999E-3</v>
      </c>
      <c r="W27" s="5"/>
    </row>
    <row r="28" spans="2:24" x14ac:dyDescent="0.2">
      <c r="B28" s="34">
        <v>1998</v>
      </c>
      <c r="C28" s="5">
        <f t="shared" si="2"/>
        <v>6.593642611683849E-2</v>
      </c>
      <c r="D28" s="5">
        <f t="shared" si="2"/>
        <v>8.2689003436426115E-2</v>
      </c>
      <c r="E28" s="5">
        <f t="shared" si="2"/>
        <v>0.14261168384879724</v>
      </c>
      <c r="F28" s="5">
        <f t="shared" si="2"/>
        <v>0.11748281786941581</v>
      </c>
      <c r="G28" s="5">
        <f t="shared" si="2"/>
        <v>0.10760309278350516</v>
      </c>
      <c r="H28" s="5">
        <f t="shared" si="2"/>
        <v>0.10309278350515463</v>
      </c>
      <c r="I28" s="5">
        <f t="shared" si="2"/>
        <v>8.9991408934707903E-2</v>
      </c>
      <c r="J28" s="5">
        <f t="shared" si="2"/>
        <v>5.3264604810996562E-2</v>
      </c>
      <c r="K28" s="5">
        <f t="shared" si="2"/>
        <v>3.3290378006872852E-2</v>
      </c>
      <c r="L28" s="5">
        <f t="shared" si="2"/>
        <v>4.7250859106529208E-2</v>
      </c>
      <c r="M28" s="5">
        <f t="shared" si="2"/>
        <v>4.0378006872852236E-2</v>
      </c>
      <c r="N28" s="5">
        <f t="shared" si="2"/>
        <v>3.4149484536082471E-2</v>
      </c>
      <c r="O28" s="5">
        <f t="shared" si="2"/>
        <v>2.5128865979381444E-2</v>
      </c>
      <c r="P28" s="5">
        <f t="shared" si="2"/>
        <v>1.8900343642611683E-2</v>
      </c>
      <c r="Q28" s="5">
        <f t="shared" si="2"/>
        <v>1.5893470790378006E-2</v>
      </c>
      <c r="R28" s="5">
        <f t="shared" si="2"/>
        <v>1.0738831615120275E-2</v>
      </c>
      <c r="S28" s="5">
        <f t="shared" si="1"/>
        <v>6.4432989690721646E-3</v>
      </c>
      <c r="T28" s="5">
        <f t="shared" si="1"/>
        <v>4.2955326460481103E-3</v>
      </c>
      <c r="U28" s="5">
        <f t="shared" si="1"/>
        <v>6.4432989690721648E-4</v>
      </c>
      <c r="V28" s="5">
        <f t="shared" si="1"/>
        <v>2.1477663230240549E-4</v>
      </c>
      <c r="W28" s="5"/>
    </row>
    <row r="29" spans="2:24" x14ac:dyDescent="0.2">
      <c r="B29" s="34">
        <v>1999</v>
      </c>
      <c r="C29" s="5">
        <f t="shared" si="2"/>
        <v>8.5427135678391955E-2</v>
      </c>
      <c r="D29" s="5">
        <f t="shared" si="2"/>
        <v>6.1976549413735343E-2</v>
      </c>
      <c r="E29" s="5">
        <f t="shared" si="2"/>
        <v>8.2077051926298161E-2</v>
      </c>
      <c r="F29" s="5">
        <f t="shared" si="2"/>
        <v>0.12849964106245512</v>
      </c>
      <c r="G29" s="5">
        <f t="shared" si="2"/>
        <v>0.10863843024647045</v>
      </c>
      <c r="H29" s="5">
        <f t="shared" si="2"/>
        <v>9.9545345776501551E-2</v>
      </c>
      <c r="I29" s="5">
        <f t="shared" si="2"/>
        <v>9.2366594879157687E-2</v>
      </c>
      <c r="J29" s="5">
        <f t="shared" si="2"/>
        <v>8.1359176836563768E-2</v>
      </c>
      <c r="K29" s="5">
        <f t="shared" si="2"/>
        <v>4.9054797798516389E-2</v>
      </c>
      <c r="L29" s="5">
        <f t="shared" si="2"/>
        <v>3.0390045465422351E-2</v>
      </c>
      <c r="M29" s="5">
        <f t="shared" si="2"/>
        <v>4.4508255563531947E-2</v>
      </c>
      <c r="N29" s="5">
        <f t="shared" si="2"/>
        <v>3.8286671452500601E-2</v>
      </c>
      <c r="O29" s="5">
        <f t="shared" si="2"/>
        <v>3.1107920555156737E-2</v>
      </c>
      <c r="P29" s="5">
        <f t="shared" si="2"/>
        <v>2.0339794209140942E-2</v>
      </c>
      <c r="Q29" s="5">
        <f t="shared" si="2"/>
        <v>1.5314668581000239E-2</v>
      </c>
      <c r="R29" s="5">
        <f t="shared" si="2"/>
        <v>1.340033500837521E-2</v>
      </c>
      <c r="S29" s="5">
        <f t="shared" si="1"/>
        <v>9.3323761665470208E-3</v>
      </c>
      <c r="T29" s="5">
        <f t="shared" si="1"/>
        <v>5.7430007178750899E-3</v>
      </c>
      <c r="U29" s="5">
        <f t="shared" si="1"/>
        <v>2.632208662359416E-3</v>
      </c>
      <c r="V29" s="5">
        <f t="shared" si="1"/>
        <v>0</v>
      </c>
      <c r="W29" s="5"/>
    </row>
    <row r="30" spans="2:24" x14ac:dyDescent="0.2">
      <c r="B30" s="34">
        <v>2000</v>
      </c>
      <c r="C30" s="5">
        <f t="shared" si="2"/>
        <v>8.661887694145759E-2</v>
      </c>
      <c r="D30" s="5">
        <f t="shared" si="2"/>
        <v>7.4671445639187581E-2</v>
      </c>
      <c r="E30" s="5">
        <f t="shared" si="2"/>
        <v>5.7347670250896057E-2</v>
      </c>
      <c r="F30" s="5">
        <f t="shared" si="2"/>
        <v>7.2580645161290328E-2</v>
      </c>
      <c r="G30" s="5">
        <f t="shared" si="2"/>
        <v>0.11768219832735961</v>
      </c>
      <c r="H30" s="5">
        <f t="shared" si="2"/>
        <v>0.10005973715651136</v>
      </c>
      <c r="I30" s="5">
        <f t="shared" si="2"/>
        <v>9.4086021505376344E-2</v>
      </c>
      <c r="J30" s="5">
        <f t="shared" si="2"/>
        <v>8.8112305854241332E-2</v>
      </c>
      <c r="K30" s="5">
        <f t="shared" si="2"/>
        <v>7.3775388291517321E-2</v>
      </c>
      <c r="L30" s="5">
        <f t="shared" si="2"/>
        <v>4.8088410991636799E-2</v>
      </c>
      <c r="M30" s="5">
        <f t="shared" si="2"/>
        <v>2.8375149342891277E-2</v>
      </c>
      <c r="N30" s="5">
        <f t="shared" si="2"/>
        <v>3.9725209080047792E-2</v>
      </c>
      <c r="O30" s="5">
        <f t="shared" si="2"/>
        <v>3.7933094384707287E-2</v>
      </c>
      <c r="P30" s="5">
        <f t="shared" si="2"/>
        <v>2.8673835125448029E-2</v>
      </c>
      <c r="Q30" s="5">
        <f t="shared" si="2"/>
        <v>1.8518518518518517E-2</v>
      </c>
      <c r="R30" s="5">
        <f t="shared" si="2"/>
        <v>1.2843488649940263E-2</v>
      </c>
      <c r="S30" s="5">
        <f t="shared" si="1"/>
        <v>9.8566308243727592E-3</v>
      </c>
      <c r="T30" s="5">
        <f t="shared" si="1"/>
        <v>5.3763440860215058E-3</v>
      </c>
      <c r="U30" s="5">
        <f t="shared" si="1"/>
        <v>4.4802867383512543E-3</v>
      </c>
      <c r="V30" s="5">
        <f t="shared" si="1"/>
        <v>1.1947431302270011E-3</v>
      </c>
      <c r="W30" s="5"/>
    </row>
    <row r="31" spans="2:24" x14ac:dyDescent="0.2">
      <c r="B31" s="34">
        <v>2001</v>
      </c>
      <c r="C31" s="5">
        <f t="shared" si="2"/>
        <v>9.0101940151266033E-2</v>
      </c>
      <c r="D31" s="5">
        <f t="shared" si="2"/>
        <v>7.3988819467280503E-2</v>
      </c>
      <c r="E31" s="5">
        <f t="shared" si="2"/>
        <v>7.1686945083853995E-2</v>
      </c>
      <c r="F31" s="5">
        <f t="shared" si="2"/>
        <v>5.1298914830647815E-2</v>
      </c>
      <c r="G31" s="5">
        <f t="shared" si="2"/>
        <v>6.4781321933574484E-2</v>
      </c>
      <c r="H31" s="5">
        <f t="shared" si="2"/>
        <v>0.10720157842814863</v>
      </c>
      <c r="I31" s="5">
        <f t="shared" si="2"/>
        <v>9.7007563301545544E-2</v>
      </c>
      <c r="J31" s="5">
        <f t="shared" si="2"/>
        <v>8.9444261756001314E-2</v>
      </c>
      <c r="K31" s="5">
        <f t="shared" si="2"/>
        <v>7.7606050641236435E-2</v>
      </c>
      <c r="L31" s="5">
        <f t="shared" si="2"/>
        <v>7.1686945083853995E-2</v>
      </c>
      <c r="M31" s="5">
        <f t="shared" si="2"/>
        <v>4.5050970075633016E-2</v>
      </c>
      <c r="N31" s="5">
        <f t="shared" si="2"/>
        <v>2.5978296612956264E-2</v>
      </c>
      <c r="O31" s="5">
        <f t="shared" si="2"/>
        <v>3.5185794146662279E-2</v>
      </c>
      <c r="P31" s="5">
        <f t="shared" si="2"/>
        <v>3.5843472541926998E-2</v>
      </c>
      <c r="Q31" s="5">
        <f t="shared" si="2"/>
        <v>2.4662939822426833E-2</v>
      </c>
      <c r="R31" s="5">
        <f t="shared" si="2"/>
        <v>1.4797763893456099E-2</v>
      </c>
      <c r="S31" s="5">
        <f t="shared" si="1"/>
        <v>1.0194015126603092E-2</v>
      </c>
      <c r="T31" s="5">
        <f t="shared" si="1"/>
        <v>7.5633015455442293E-3</v>
      </c>
      <c r="U31" s="5">
        <f t="shared" si="1"/>
        <v>2.6307135810588623E-3</v>
      </c>
      <c r="V31" s="5">
        <f t="shared" si="1"/>
        <v>3.2883919763235779E-3</v>
      </c>
      <c r="W31" s="5"/>
    </row>
    <row r="32" spans="2:24" x14ac:dyDescent="0.2">
      <c r="B32" s="34">
        <v>2002</v>
      </c>
      <c r="C32" s="5">
        <f t="shared" si="2"/>
        <v>9.5736122284794847E-2</v>
      </c>
      <c r="D32" s="5">
        <f t="shared" si="2"/>
        <v>6.9187449718423166E-2</v>
      </c>
      <c r="E32" s="5">
        <f t="shared" si="2"/>
        <v>7.3209975864843124E-2</v>
      </c>
      <c r="F32" s="5">
        <f t="shared" si="2"/>
        <v>6.5969428801287214E-2</v>
      </c>
      <c r="G32" s="5">
        <f t="shared" si="2"/>
        <v>4.8270313757039419E-2</v>
      </c>
      <c r="H32" s="5">
        <f t="shared" si="2"/>
        <v>5.6717618664521317E-2</v>
      </c>
      <c r="I32" s="5">
        <f t="shared" si="2"/>
        <v>9.9758648431214805E-2</v>
      </c>
      <c r="J32" s="5">
        <f t="shared" si="2"/>
        <v>9.1713596138374903E-2</v>
      </c>
      <c r="K32" s="5">
        <f t="shared" si="2"/>
        <v>8.8093322606596941E-2</v>
      </c>
      <c r="L32" s="5">
        <f t="shared" si="2"/>
        <v>7.2405470635559133E-2</v>
      </c>
      <c r="M32" s="5">
        <f t="shared" si="2"/>
        <v>6.5567176186645218E-2</v>
      </c>
      <c r="N32" s="5">
        <f t="shared" si="2"/>
        <v>4.3845534995977473E-2</v>
      </c>
      <c r="O32" s="5">
        <f t="shared" si="2"/>
        <v>2.4537409493161706E-2</v>
      </c>
      <c r="P32" s="5">
        <f t="shared" si="2"/>
        <v>3.0973451327433628E-2</v>
      </c>
      <c r="Q32" s="5">
        <f t="shared" si="2"/>
        <v>3.2582461786001611E-2</v>
      </c>
      <c r="R32" s="5">
        <f t="shared" si="2"/>
        <v>2.0112630732099759E-2</v>
      </c>
      <c r="S32" s="5">
        <f t="shared" si="1"/>
        <v>1.0056315366049879E-2</v>
      </c>
      <c r="T32" s="5">
        <f t="shared" si="1"/>
        <v>6.8382944489139182E-3</v>
      </c>
      <c r="U32" s="5">
        <f t="shared" si="1"/>
        <v>3.6202735317779565E-3</v>
      </c>
      <c r="V32" s="5">
        <f t="shared" si="1"/>
        <v>8.045052292839903E-4</v>
      </c>
      <c r="W32" s="5"/>
    </row>
    <row r="33" spans="2:23" x14ac:dyDescent="0.2">
      <c r="B33" s="34">
        <v>2003</v>
      </c>
      <c r="C33" s="5">
        <f t="shared" si="2"/>
        <v>5.7815845824411134E-2</v>
      </c>
      <c r="D33" s="5">
        <f t="shared" si="2"/>
        <v>8.2441113490364024E-2</v>
      </c>
      <c r="E33" s="5">
        <f t="shared" si="2"/>
        <v>6.9057815845824405E-2</v>
      </c>
      <c r="F33" s="5">
        <f t="shared" si="2"/>
        <v>6.2633832976445397E-2</v>
      </c>
      <c r="G33" s="5">
        <f t="shared" si="2"/>
        <v>5.8351177730192723E-2</v>
      </c>
      <c r="H33" s="5">
        <f t="shared" si="2"/>
        <v>3.8008565310492508E-2</v>
      </c>
      <c r="I33" s="5">
        <f t="shared" si="2"/>
        <v>5.0856531049250538E-2</v>
      </c>
      <c r="J33" s="5">
        <f t="shared" si="2"/>
        <v>9.2612419700214138E-2</v>
      </c>
      <c r="K33" s="5">
        <f t="shared" si="2"/>
        <v>9.1541755888650961E-2</v>
      </c>
      <c r="L33" s="5">
        <f t="shared" si="2"/>
        <v>9.0471092077087797E-2</v>
      </c>
      <c r="M33" s="5">
        <f t="shared" si="2"/>
        <v>7.5481798715203427E-2</v>
      </c>
      <c r="N33" s="5">
        <f t="shared" si="2"/>
        <v>6.5845824411134901E-2</v>
      </c>
      <c r="O33" s="5">
        <f t="shared" si="2"/>
        <v>4.6573875802997856E-2</v>
      </c>
      <c r="P33" s="5">
        <f t="shared" si="2"/>
        <v>2.569593147751606E-2</v>
      </c>
      <c r="Q33" s="5">
        <f t="shared" si="2"/>
        <v>2.7301927194860815E-2</v>
      </c>
      <c r="R33" s="5">
        <f t="shared" si="2"/>
        <v>2.9978586723768737E-2</v>
      </c>
      <c r="S33" s="5">
        <f t="shared" si="1"/>
        <v>1.980728051391863E-2</v>
      </c>
      <c r="T33" s="5">
        <f t="shared" si="1"/>
        <v>9.1006423982869372E-3</v>
      </c>
      <c r="U33" s="5">
        <f t="shared" si="1"/>
        <v>4.2826552462526769E-3</v>
      </c>
      <c r="V33" s="5">
        <f t="shared" si="1"/>
        <v>2.1413276231263384E-3</v>
      </c>
      <c r="W33" s="5"/>
    </row>
    <row r="34" spans="2:23" x14ac:dyDescent="0.2">
      <c r="B34" s="34">
        <v>2004</v>
      </c>
      <c r="C34" s="5">
        <f t="shared" si="2"/>
        <v>5.9372915276851235E-2</v>
      </c>
      <c r="D34" s="5">
        <f t="shared" si="2"/>
        <v>5.6037358238825885E-2</v>
      </c>
      <c r="E34" s="5">
        <f t="shared" si="2"/>
        <v>7.9386257505003333E-2</v>
      </c>
      <c r="F34" s="5">
        <f t="shared" si="2"/>
        <v>6.6711140760507007E-2</v>
      </c>
      <c r="G34" s="5">
        <f t="shared" si="2"/>
        <v>5.4703135423615747E-2</v>
      </c>
      <c r="H34" s="5">
        <f t="shared" si="2"/>
        <v>5.3368912608405601E-2</v>
      </c>
      <c r="I34" s="5">
        <f t="shared" si="2"/>
        <v>3.6691127418278853E-2</v>
      </c>
      <c r="J34" s="5">
        <f t="shared" si="2"/>
        <v>4.7364909939959975E-2</v>
      </c>
      <c r="K34" s="5">
        <f t="shared" si="2"/>
        <v>9.13942628418946E-2</v>
      </c>
      <c r="L34" s="5">
        <f t="shared" si="2"/>
        <v>9.2061374249499672E-2</v>
      </c>
      <c r="M34" s="5">
        <f t="shared" si="2"/>
        <v>8.9392928619079381E-2</v>
      </c>
      <c r="N34" s="5">
        <f t="shared" si="2"/>
        <v>7.3382254836557706E-2</v>
      </c>
      <c r="O34" s="5">
        <f t="shared" si="2"/>
        <v>6.1374249499666446E-2</v>
      </c>
      <c r="P34" s="5">
        <f t="shared" si="2"/>
        <v>4.803202134756504E-2</v>
      </c>
      <c r="Q34" s="5">
        <f t="shared" si="2"/>
        <v>2.2014676450967312E-2</v>
      </c>
      <c r="R34" s="5">
        <f t="shared" si="2"/>
        <v>2.401601067378252E-2</v>
      </c>
      <c r="S34" s="5">
        <f t="shared" si="1"/>
        <v>2.6017344896597731E-2</v>
      </c>
      <c r="T34" s="5">
        <f t="shared" si="1"/>
        <v>1.2675116744496331E-2</v>
      </c>
      <c r="U34" s="5">
        <f t="shared" si="1"/>
        <v>4.6697798532354907E-3</v>
      </c>
      <c r="V34" s="5">
        <f t="shared" si="1"/>
        <v>1.33422281521014E-3</v>
      </c>
      <c r="W34" s="5"/>
    </row>
    <row r="35" spans="2:23" x14ac:dyDescent="0.2">
      <c r="B35" s="34">
        <v>2005</v>
      </c>
      <c r="C35" s="5">
        <f t="shared" si="2"/>
        <v>5.8311575282854654E-2</v>
      </c>
      <c r="D35" s="5">
        <f t="shared" si="2"/>
        <v>5.0478677110530897E-2</v>
      </c>
      <c r="E35" s="5">
        <f t="shared" si="2"/>
        <v>5.7441253263707574E-2</v>
      </c>
      <c r="F35" s="5">
        <f t="shared" si="2"/>
        <v>7.1366405570060923E-2</v>
      </c>
      <c r="G35" s="5">
        <f t="shared" si="2"/>
        <v>5.6570931244560488E-2</v>
      </c>
      <c r="H35" s="5">
        <f t="shared" si="2"/>
        <v>5.0478677110530897E-2</v>
      </c>
      <c r="I35" s="5">
        <f t="shared" si="2"/>
        <v>4.5256744995648392E-2</v>
      </c>
      <c r="J35" s="5">
        <f t="shared" si="2"/>
        <v>3.8294168842471714E-2</v>
      </c>
      <c r="K35" s="5">
        <f t="shared" si="2"/>
        <v>4.4386422976501305E-2</v>
      </c>
      <c r="L35" s="5">
        <f t="shared" si="2"/>
        <v>9.0513489991296783E-2</v>
      </c>
      <c r="M35" s="5">
        <f t="shared" si="2"/>
        <v>9.921671018276762E-2</v>
      </c>
      <c r="N35" s="5">
        <f t="shared" si="2"/>
        <v>8.964316797214969E-2</v>
      </c>
      <c r="O35" s="5">
        <f t="shared" si="2"/>
        <v>7.0496083550913843E-2</v>
      </c>
      <c r="P35" s="5">
        <f t="shared" si="2"/>
        <v>5.918189730200174E-2</v>
      </c>
      <c r="Q35" s="5">
        <f t="shared" si="2"/>
        <v>4.8738033072236731E-2</v>
      </c>
      <c r="R35" s="5">
        <f t="shared" si="2"/>
        <v>1.9147084421235857E-2</v>
      </c>
      <c r="S35" s="5">
        <f t="shared" si="1"/>
        <v>1.8276762402088774E-2</v>
      </c>
      <c r="T35" s="5">
        <f t="shared" si="1"/>
        <v>2.0887728459530026E-2</v>
      </c>
      <c r="U35" s="5">
        <f t="shared" si="1"/>
        <v>8.7032201914708437E-3</v>
      </c>
      <c r="V35" s="5">
        <f t="shared" si="1"/>
        <v>2.6109660574412533E-3</v>
      </c>
      <c r="W35" s="5"/>
    </row>
    <row r="36" spans="2:23" x14ac:dyDescent="0.2">
      <c r="B36" s="34">
        <v>2006</v>
      </c>
      <c r="C36" s="5">
        <f t="shared" si="2"/>
        <v>5.2934407364787113E-2</v>
      </c>
      <c r="D36" s="5">
        <f t="shared" si="2"/>
        <v>5.5235903337169157E-2</v>
      </c>
      <c r="E36" s="5">
        <f t="shared" si="2"/>
        <v>4.2577675489067893E-2</v>
      </c>
      <c r="F36" s="5">
        <f t="shared" si="2"/>
        <v>4.9482163406214037E-2</v>
      </c>
      <c r="G36" s="5">
        <f t="shared" si="2"/>
        <v>5.9838895281933258E-2</v>
      </c>
      <c r="H36" s="5">
        <f t="shared" si="2"/>
        <v>5.2934407364787113E-2</v>
      </c>
      <c r="I36" s="5">
        <f t="shared" si="2"/>
        <v>5.5235903337169157E-2</v>
      </c>
      <c r="J36" s="5">
        <f t="shared" si="2"/>
        <v>5.2934407364787113E-2</v>
      </c>
      <c r="K36" s="5">
        <f t="shared" si="2"/>
        <v>3.6823935558112773E-2</v>
      </c>
      <c r="L36" s="5">
        <f t="shared" si="2"/>
        <v>4.1426927502876867E-2</v>
      </c>
      <c r="M36" s="5">
        <f t="shared" si="2"/>
        <v>8.6306098964326811E-2</v>
      </c>
      <c r="N36" s="5">
        <f t="shared" si="2"/>
        <v>0.10701956271576525</v>
      </c>
      <c r="O36" s="5">
        <f t="shared" si="2"/>
        <v>8.5155350978135785E-2</v>
      </c>
      <c r="P36" s="5">
        <f t="shared" si="2"/>
        <v>7.5949367088607597E-2</v>
      </c>
      <c r="Q36" s="5">
        <f t="shared" si="2"/>
        <v>5.4085155350978138E-2</v>
      </c>
      <c r="R36" s="5">
        <f t="shared" si="2"/>
        <v>4.1426927502876867E-2</v>
      </c>
      <c r="S36" s="5">
        <f t="shared" si="1"/>
        <v>1.611047180667434E-2</v>
      </c>
      <c r="T36" s="5">
        <f t="shared" si="1"/>
        <v>1.4959723820483314E-2</v>
      </c>
      <c r="U36" s="5">
        <f t="shared" si="1"/>
        <v>1.611047180667434E-2</v>
      </c>
      <c r="V36" s="5">
        <f t="shared" si="1"/>
        <v>3.4522439585730723E-3</v>
      </c>
      <c r="W36" s="5"/>
    </row>
    <row r="37" spans="2:23" x14ac:dyDescent="0.2">
      <c r="B37" s="34">
        <v>2007</v>
      </c>
      <c r="C37" s="5">
        <f t="shared" si="2"/>
        <v>3.6386449184441658E-2</v>
      </c>
      <c r="D37" s="5">
        <f t="shared" si="2"/>
        <v>4.7678795483061483E-2</v>
      </c>
      <c r="E37" s="5">
        <f t="shared" si="2"/>
        <v>5.2697616060225848E-2</v>
      </c>
      <c r="F37" s="5">
        <f t="shared" si="2"/>
        <v>4.1405269761606023E-2</v>
      </c>
      <c r="G37" s="5">
        <f t="shared" si="2"/>
        <v>5.0188205771643665E-2</v>
      </c>
      <c r="H37" s="5">
        <f t="shared" si="2"/>
        <v>5.8971141781681308E-2</v>
      </c>
      <c r="I37" s="5">
        <f t="shared" si="2"/>
        <v>5.520702634880803E-2</v>
      </c>
      <c r="J37" s="5">
        <f t="shared" si="2"/>
        <v>5.0188205771643665E-2</v>
      </c>
      <c r="K37" s="5">
        <f t="shared" si="2"/>
        <v>5.6461731493099125E-2</v>
      </c>
      <c r="L37" s="5">
        <f t="shared" si="2"/>
        <v>3.889585947302384E-2</v>
      </c>
      <c r="M37" s="5">
        <f t="shared" si="2"/>
        <v>4.1405269761606023E-2</v>
      </c>
      <c r="N37" s="5">
        <f t="shared" si="2"/>
        <v>8.9084065244667499E-2</v>
      </c>
      <c r="O37" s="5">
        <f t="shared" si="2"/>
        <v>0.11041405269761606</v>
      </c>
      <c r="P37" s="5">
        <f t="shared" si="2"/>
        <v>8.4065244667503133E-2</v>
      </c>
      <c r="Q37" s="5">
        <f t="shared" si="2"/>
        <v>7.4027603513174403E-2</v>
      </c>
      <c r="R37" s="5">
        <f t="shared" si="2"/>
        <v>4.51693851944793E-2</v>
      </c>
      <c r="S37" s="5">
        <f t="shared" si="1"/>
        <v>3.5131744040150563E-2</v>
      </c>
      <c r="T37" s="5">
        <f t="shared" si="1"/>
        <v>1.2547051442910916E-2</v>
      </c>
      <c r="U37" s="5">
        <f t="shared" si="1"/>
        <v>8.7829360100376407E-3</v>
      </c>
      <c r="V37" s="5">
        <f t="shared" si="1"/>
        <v>1.1292346298619825E-2</v>
      </c>
      <c r="W37" s="5"/>
    </row>
    <row r="38" spans="2:23" x14ac:dyDescent="0.2">
      <c r="B38" s="34">
        <v>2008</v>
      </c>
      <c r="C38" s="5">
        <f t="shared" si="2"/>
        <v>3.8303693570451436E-2</v>
      </c>
      <c r="D38" s="5">
        <f t="shared" si="2"/>
        <v>3.9671682626538987E-2</v>
      </c>
      <c r="E38" s="5">
        <f t="shared" si="2"/>
        <v>4.7879616963064295E-2</v>
      </c>
      <c r="F38" s="5">
        <f t="shared" si="2"/>
        <v>5.0615595075239397E-2</v>
      </c>
      <c r="G38" s="5">
        <f t="shared" si="2"/>
        <v>4.240766073871409E-2</v>
      </c>
      <c r="H38" s="5">
        <f t="shared" si="2"/>
        <v>5.0615595075239397E-2</v>
      </c>
      <c r="I38" s="5">
        <f t="shared" si="2"/>
        <v>6.0191518467852256E-2</v>
      </c>
      <c r="J38" s="5">
        <f t="shared" si="2"/>
        <v>5.1983584131326949E-2</v>
      </c>
      <c r="K38" s="5">
        <f t="shared" si="2"/>
        <v>5.4719562243502051E-2</v>
      </c>
      <c r="L38" s="5">
        <f t="shared" si="2"/>
        <v>5.7455540355677154E-2</v>
      </c>
      <c r="M38" s="5">
        <f t="shared" si="2"/>
        <v>3.9671682626538987E-2</v>
      </c>
      <c r="N38" s="5">
        <f t="shared" si="2"/>
        <v>4.5143638850889192E-2</v>
      </c>
      <c r="O38" s="5">
        <f t="shared" si="2"/>
        <v>8.6183310533515731E-2</v>
      </c>
      <c r="P38" s="5">
        <f t="shared" si="2"/>
        <v>0.1094391244870041</v>
      </c>
      <c r="Q38" s="5">
        <f t="shared" si="2"/>
        <v>7.7975376196990423E-2</v>
      </c>
      <c r="R38" s="5">
        <f t="shared" si="2"/>
        <v>6.7031463748290013E-2</v>
      </c>
      <c r="S38" s="5">
        <f t="shared" si="1"/>
        <v>3.5567715458276333E-2</v>
      </c>
      <c r="T38" s="5">
        <f t="shared" si="1"/>
        <v>3.2831737346101231E-2</v>
      </c>
      <c r="U38" s="5">
        <f t="shared" si="1"/>
        <v>8.2079343365253077E-3</v>
      </c>
      <c r="V38" s="5">
        <f t="shared" si="1"/>
        <v>4.1039671682626538E-3</v>
      </c>
      <c r="W38" s="5"/>
    </row>
    <row r="39" spans="2:23" x14ac:dyDescent="0.2">
      <c r="B39" s="34">
        <v>2009</v>
      </c>
      <c r="C39" s="5">
        <f t="shared" si="2"/>
        <v>2.385008517887564E-2</v>
      </c>
      <c r="D39" s="5">
        <f t="shared" si="2"/>
        <v>4.0885860306643949E-2</v>
      </c>
      <c r="E39" s="5">
        <f t="shared" si="2"/>
        <v>4.4293015332197615E-2</v>
      </c>
      <c r="F39" s="5">
        <f t="shared" si="2"/>
        <v>4.9403747870528106E-2</v>
      </c>
      <c r="G39" s="5">
        <f t="shared" si="2"/>
        <v>5.4514480408858604E-2</v>
      </c>
      <c r="H39" s="5">
        <f t="shared" si="2"/>
        <v>4.5996592844974447E-2</v>
      </c>
      <c r="I39" s="5">
        <f t="shared" si="2"/>
        <v>5.4514480408858604E-2</v>
      </c>
      <c r="J39" s="5">
        <f t="shared" si="2"/>
        <v>6.8143100511073251E-2</v>
      </c>
      <c r="K39" s="5">
        <f t="shared" si="2"/>
        <v>5.9625212947189095E-2</v>
      </c>
      <c r="L39" s="5">
        <f t="shared" si="2"/>
        <v>6.1328790459965928E-2</v>
      </c>
      <c r="M39" s="5">
        <f t="shared" si="2"/>
        <v>5.6218057921635436E-2</v>
      </c>
      <c r="N39" s="5">
        <f t="shared" si="2"/>
        <v>4.0885860306643949E-2</v>
      </c>
      <c r="O39" s="5">
        <f t="shared" si="2"/>
        <v>5.1107325383304938E-2</v>
      </c>
      <c r="P39" s="5">
        <f t="shared" si="2"/>
        <v>8.6882453151618397E-2</v>
      </c>
      <c r="Q39" s="5">
        <f t="shared" si="2"/>
        <v>0.10221465076660988</v>
      </c>
      <c r="R39" s="5">
        <f t="shared" si="2"/>
        <v>7.1550255536626917E-2</v>
      </c>
      <c r="S39" s="5">
        <f t="shared" si="1"/>
        <v>5.2810902896081771E-2</v>
      </c>
      <c r="T39" s="5">
        <f t="shared" si="1"/>
        <v>1.7035775127768313E-2</v>
      </c>
      <c r="U39" s="5">
        <f t="shared" si="1"/>
        <v>1.3628620102214651E-2</v>
      </c>
      <c r="V39" s="5">
        <f t="shared" si="1"/>
        <v>5.1107325383304937E-3</v>
      </c>
      <c r="W39" s="5"/>
    </row>
    <row r="40" spans="2:23" x14ac:dyDescent="0.2">
      <c r="B40" s="34">
        <v>2010</v>
      </c>
      <c r="C40" s="5">
        <f t="shared" si="2"/>
        <v>3.1315240083507306E-2</v>
      </c>
      <c r="D40" s="5">
        <f t="shared" si="2"/>
        <v>2.5052192066805846E-2</v>
      </c>
      <c r="E40" s="5">
        <f t="shared" si="2"/>
        <v>4.3841336116910233E-2</v>
      </c>
      <c r="F40" s="5">
        <f t="shared" si="2"/>
        <v>3.7578288100208766E-2</v>
      </c>
      <c r="G40" s="5">
        <f t="shared" si="2"/>
        <v>4.5929018789144051E-2</v>
      </c>
      <c r="H40" s="5">
        <f t="shared" si="2"/>
        <v>5.2192066805845511E-2</v>
      </c>
      <c r="I40" s="5">
        <f t="shared" si="2"/>
        <v>4.8016701461377868E-2</v>
      </c>
      <c r="J40" s="5">
        <f t="shared" si="2"/>
        <v>5.2192066805845511E-2</v>
      </c>
      <c r="K40" s="5">
        <f t="shared" si="2"/>
        <v>7.3068893528183715E-2</v>
      </c>
      <c r="L40" s="5">
        <f t="shared" si="2"/>
        <v>6.2630480167014613E-2</v>
      </c>
      <c r="M40" s="5">
        <f t="shared" si="2"/>
        <v>6.471816283924843E-2</v>
      </c>
      <c r="N40" s="5">
        <f t="shared" si="2"/>
        <v>5.845511482254697E-2</v>
      </c>
      <c r="O40" s="5">
        <f t="shared" si="2"/>
        <v>4.3841336116910233E-2</v>
      </c>
      <c r="P40" s="5">
        <f t="shared" si="2"/>
        <v>5.2192066805845511E-2</v>
      </c>
      <c r="Q40" s="5">
        <f t="shared" si="2"/>
        <v>9.6033402922755737E-2</v>
      </c>
      <c r="R40" s="5">
        <f t="shared" si="2"/>
        <v>0.10020876826722339</v>
      </c>
      <c r="S40" s="5">
        <f t="shared" si="1"/>
        <v>5.2192066805845511E-2</v>
      </c>
      <c r="T40" s="5">
        <f t="shared" si="1"/>
        <v>4.8016701461377868E-2</v>
      </c>
      <c r="U40" s="5">
        <f t="shared" si="1"/>
        <v>1.0438413361169102E-2</v>
      </c>
      <c r="V40" s="5">
        <f t="shared" si="1"/>
        <v>2.0876826722338203E-3</v>
      </c>
      <c r="W40" s="5"/>
    </row>
    <row r="41" spans="2:23" x14ac:dyDescent="0.2">
      <c r="B41" s="34">
        <v>2011</v>
      </c>
      <c r="C41" s="5">
        <f t="shared" si="2"/>
        <v>5.3333333333333337E-2</v>
      </c>
      <c r="D41" s="5">
        <f t="shared" si="2"/>
        <v>2.6666666666666668E-2</v>
      </c>
      <c r="E41" s="5">
        <f t="shared" si="2"/>
        <v>2.4444444444444446E-2</v>
      </c>
      <c r="F41" s="5">
        <f t="shared" si="2"/>
        <v>4.6666666666666669E-2</v>
      </c>
      <c r="G41" s="5">
        <f t="shared" si="2"/>
        <v>0.04</v>
      </c>
      <c r="H41" s="5">
        <f t="shared" si="2"/>
        <v>4.8888888888888891E-2</v>
      </c>
      <c r="I41" s="5">
        <f t="shared" si="2"/>
        <v>5.5555555555555552E-2</v>
      </c>
      <c r="J41" s="5">
        <f t="shared" si="2"/>
        <v>4.8888888888888891E-2</v>
      </c>
      <c r="K41" s="5">
        <f t="shared" si="2"/>
        <v>5.5555555555555552E-2</v>
      </c>
      <c r="L41" s="5">
        <f t="shared" si="2"/>
        <v>7.5555555555555556E-2</v>
      </c>
      <c r="M41" s="5">
        <f t="shared" si="2"/>
        <v>6.4444444444444443E-2</v>
      </c>
      <c r="N41" s="5">
        <f t="shared" si="2"/>
        <v>6.4444444444444443E-2</v>
      </c>
      <c r="O41" s="5">
        <f t="shared" si="2"/>
        <v>0.06</v>
      </c>
      <c r="P41" s="5">
        <f t="shared" si="2"/>
        <v>4.2222222222222223E-2</v>
      </c>
      <c r="Q41" s="5">
        <f t="shared" si="2"/>
        <v>5.1111111111111114E-2</v>
      </c>
      <c r="R41" s="5">
        <f t="shared" si="2"/>
        <v>8.666666666666667E-2</v>
      </c>
      <c r="S41" s="5">
        <f t="shared" ref="S41:V41" si="3">S19/$X19</f>
        <v>8.666666666666667E-2</v>
      </c>
      <c r="T41" s="5">
        <f t="shared" si="3"/>
        <v>3.7777777777777778E-2</v>
      </c>
      <c r="U41" s="5">
        <f t="shared" si="3"/>
        <v>2.6666666666666668E-2</v>
      </c>
      <c r="V41" s="5">
        <f t="shared" si="3"/>
        <v>4.4444444444444444E-3</v>
      </c>
      <c r="W41" s="5"/>
    </row>
    <row r="42" spans="2:23" x14ac:dyDescent="0.2">
      <c r="B42" s="34">
        <v>2012</v>
      </c>
      <c r="C42" s="5">
        <f t="shared" si="2"/>
        <v>3.0386740331491711E-2</v>
      </c>
      <c r="D42" s="5">
        <f t="shared" si="2"/>
        <v>6.0773480662983423E-2</v>
      </c>
      <c r="E42" s="5">
        <f t="shared" si="2"/>
        <v>3.3149171270718231E-2</v>
      </c>
      <c r="F42" s="5">
        <f t="shared" si="2"/>
        <v>3.0386740331491711E-2</v>
      </c>
      <c r="G42" s="5">
        <f t="shared" si="2"/>
        <v>5.8011049723756904E-2</v>
      </c>
      <c r="H42" s="5">
        <f t="shared" si="2"/>
        <v>4.4198895027624308E-2</v>
      </c>
      <c r="I42" s="5">
        <f t="shared" si="2"/>
        <v>5.2486187845303865E-2</v>
      </c>
      <c r="J42" s="5">
        <f t="shared" si="2"/>
        <v>6.3535911602209949E-2</v>
      </c>
      <c r="K42" s="5">
        <f t="shared" si="2"/>
        <v>5.5248618784530384E-2</v>
      </c>
      <c r="L42" s="5">
        <f t="shared" si="2"/>
        <v>6.6298342541436461E-2</v>
      </c>
      <c r="M42" s="5">
        <f t="shared" si="2"/>
        <v>7.4585635359116026E-2</v>
      </c>
      <c r="N42" s="5">
        <f t="shared" si="2"/>
        <v>7.18232044198895E-2</v>
      </c>
      <c r="O42" s="5">
        <f t="shared" si="2"/>
        <v>7.18232044198895E-2</v>
      </c>
      <c r="P42" s="5">
        <f t="shared" si="2"/>
        <v>5.8011049723756904E-2</v>
      </c>
      <c r="Q42" s="5">
        <f t="shared" si="2"/>
        <v>4.1436464088397788E-2</v>
      </c>
      <c r="R42" s="5">
        <f t="shared" ref="R42:V42" si="4">R20/$X20</f>
        <v>4.4198895027624308E-2</v>
      </c>
      <c r="S42" s="5">
        <f t="shared" si="4"/>
        <v>5.2486187845303865E-2</v>
      </c>
      <c r="T42" s="5">
        <f t="shared" si="4"/>
        <v>5.8011049723756904E-2</v>
      </c>
      <c r="U42" s="5">
        <f t="shared" si="4"/>
        <v>2.2099447513812154E-2</v>
      </c>
      <c r="V42" s="5">
        <f t="shared" si="4"/>
        <v>1.1049723756906077E-2</v>
      </c>
      <c r="W42" s="5"/>
    </row>
    <row r="43" spans="2:23" x14ac:dyDescent="0.2">
      <c r="B43" s="34">
        <v>2013</v>
      </c>
      <c r="C43" s="5">
        <f t="shared" ref="C43:V43" si="5">C21/$X21</f>
        <v>4.1176470588235294E-2</v>
      </c>
      <c r="D43" s="5">
        <f t="shared" si="5"/>
        <v>3.2352941176470591E-2</v>
      </c>
      <c r="E43" s="5">
        <f t="shared" si="5"/>
        <v>5.8823529411764705E-2</v>
      </c>
      <c r="F43" s="5">
        <f t="shared" si="5"/>
        <v>3.2352941176470591E-2</v>
      </c>
      <c r="G43" s="5">
        <f t="shared" si="5"/>
        <v>2.9411764705882353E-2</v>
      </c>
      <c r="H43" s="5">
        <f t="shared" si="5"/>
        <v>6.1764705882352944E-2</v>
      </c>
      <c r="I43" s="5">
        <f t="shared" si="5"/>
        <v>4.7058823529411764E-2</v>
      </c>
      <c r="J43" s="5">
        <f t="shared" si="5"/>
        <v>5.5882352941176473E-2</v>
      </c>
      <c r="K43" s="5">
        <f t="shared" si="5"/>
        <v>6.7647058823529407E-2</v>
      </c>
      <c r="L43" s="5">
        <f t="shared" si="5"/>
        <v>5.5882352941176473E-2</v>
      </c>
      <c r="M43" s="5">
        <f t="shared" si="5"/>
        <v>7.0588235294117646E-2</v>
      </c>
      <c r="N43" s="5">
        <f t="shared" si="5"/>
        <v>7.9411764705882348E-2</v>
      </c>
      <c r="O43" s="5">
        <f t="shared" si="5"/>
        <v>7.3529411764705885E-2</v>
      </c>
      <c r="P43" s="5">
        <f t="shared" si="5"/>
        <v>7.6470588235294124E-2</v>
      </c>
      <c r="Q43" s="5">
        <f t="shared" si="5"/>
        <v>0.05</v>
      </c>
      <c r="R43" s="5">
        <f t="shared" si="5"/>
        <v>4.4117647058823532E-2</v>
      </c>
      <c r="S43" s="5">
        <f t="shared" si="5"/>
        <v>2.9411764705882353E-2</v>
      </c>
      <c r="T43" s="5">
        <f t="shared" si="5"/>
        <v>4.1176470588235294E-2</v>
      </c>
      <c r="U43" s="5">
        <f t="shared" si="5"/>
        <v>3.5294117647058823E-2</v>
      </c>
      <c r="V43" s="5">
        <f t="shared" si="5"/>
        <v>1.7647058823529412E-2</v>
      </c>
      <c r="W43" s="5"/>
    </row>
    <row r="44" spans="2:23" x14ac:dyDescent="0.2">
      <c r="C44" s="5"/>
    </row>
    <row r="46" spans="2:23" x14ac:dyDescent="0.2">
      <c r="C46">
        <v>1995</v>
      </c>
      <c r="D46">
        <v>1996</v>
      </c>
      <c r="E46">
        <v>1997</v>
      </c>
      <c r="F46">
        <v>1998</v>
      </c>
      <c r="G46">
        <v>1999</v>
      </c>
      <c r="H46">
        <v>2000</v>
      </c>
      <c r="I46">
        <v>2001</v>
      </c>
      <c r="J46">
        <v>2002</v>
      </c>
      <c r="K46">
        <v>2003</v>
      </c>
      <c r="L46">
        <v>2004</v>
      </c>
      <c r="M46">
        <v>2005</v>
      </c>
      <c r="N46">
        <v>2006</v>
      </c>
      <c r="O46">
        <v>2007</v>
      </c>
      <c r="P46">
        <v>2008</v>
      </c>
      <c r="Q46">
        <v>2009</v>
      </c>
      <c r="R46">
        <v>2010</v>
      </c>
      <c r="S46">
        <v>2011</v>
      </c>
      <c r="T46">
        <v>2012</v>
      </c>
      <c r="U46">
        <v>2013</v>
      </c>
    </row>
    <row r="47" spans="2:23" x14ac:dyDescent="0.2">
      <c r="B47" s="35">
        <v>1</v>
      </c>
      <c r="C47" s="5">
        <v>0.15036231884057971</v>
      </c>
      <c r="D47" s="5">
        <v>0.14836611429456403</v>
      </c>
      <c r="E47" s="5">
        <v>8.7702106810387065E-2</v>
      </c>
      <c r="F47" s="5">
        <v>6.593642611683849E-2</v>
      </c>
      <c r="G47" s="5">
        <v>8.5427135678391955E-2</v>
      </c>
      <c r="H47" s="5">
        <v>8.661887694145759E-2</v>
      </c>
      <c r="I47" s="5">
        <v>9.0101940151266033E-2</v>
      </c>
      <c r="J47" s="5">
        <v>9.5736122284794847E-2</v>
      </c>
      <c r="K47" s="5">
        <v>5.7815845824411134E-2</v>
      </c>
      <c r="L47" s="5">
        <v>5.9372915276851235E-2</v>
      </c>
      <c r="M47" s="5">
        <v>5.8311575282854654E-2</v>
      </c>
      <c r="N47" s="5">
        <v>5.2934407364787113E-2</v>
      </c>
      <c r="O47" s="5">
        <v>3.6386449184441658E-2</v>
      </c>
      <c r="P47" s="5">
        <v>3.8303693570451436E-2</v>
      </c>
      <c r="Q47" s="5">
        <v>2.385008517887564E-2</v>
      </c>
      <c r="R47" s="5">
        <v>3.1315240083507306E-2</v>
      </c>
      <c r="S47" s="5">
        <v>5.3333333333333337E-2</v>
      </c>
      <c r="T47" s="5">
        <v>3.0386740331491711E-2</v>
      </c>
      <c r="U47" s="5">
        <v>4.1176470588235294E-2</v>
      </c>
    </row>
    <row r="48" spans="2:23" x14ac:dyDescent="0.2">
      <c r="B48">
        <v>2</v>
      </c>
      <c r="C48" s="5">
        <v>0.14402173913043478</v>
      </c>
      <c r="D48" s="5">
        <v>0.1285426668731609</v>
      </c>
      <c r="E48" s="5">
        <v>0.13408459905275191</v>
      </c>
      <c r="F48" s="5">
        <v>8.2689003436426115E-2</v>
      </c>
      <c r="G48" s="5">
        <v>6.1976549413735343E-2</v>
      </c>
      <c r="H48" s="5">
        <v>7.4671445639187581E-2</v>
      </c>
      <c r="I48" s="5">
        <v>7.3988819467280503E-2</v>
      </c>
      <c r="J48" s="5">
        <v>6.9187449718423166E-2</v>
      </c>
      <c r="K48" s="5">
        <v>8.2441113490364024E-2</v>
      </c>
      <c r="L48" s="5">
        <v>5.6037358238825885E-2</v>
      </c>
      <c r="M48" s="5">
        <v>5.0478677110530897E-2</v>
      </c>
      <c r="N48" s="5">
        <v>5.5235903337169157E-2</v>
      </c>
      <c r="O48" s="5">
        <v>4.7678795483061483E-2</v>
      </c>
      <c r="P48" s="5">
        <v>3.9671682626538987E-2</v>
      </c>
      <c r="Q48" s="5">
        <v>4.0885860306643949E-2</v>
      </c>
      <c r="R48" s="5">
        <v>2.5052192066805846E-2</v>
      </c>
      <c r="S48" s="5">
        <v>2.6666666666666668E-2</v>
      </c>
      <c r="T48" s="5">
        <v>6.0773480662983423E-2</v>
      </c>
      <c r="U48" s="5">
        <v>3.2352941176470591E-2</v>
      </c>
    </row>
    <row r="49" spans="2:21" x14ac:dyDescent="0.2">
      <c r="B49" s="35">
        <v>3</v>
      </c>
      <c r="C49" s="5">
        <v>0.13894927536231885</v>
      </c>
      <c r="D49" s="5">
        <v>0.12312219296887099</v>
      </c>
      <c r="E49" s="5">
        <v>0.1236322064347542</v>
      </c>
      <c r="F49" s="5">
        <v>0.14261168384879724</v>
      </c>
      <c r="G49" s="5">
        <v>8.2077051926298161E-2</v>
      </c>
      <c r="H49" s="5">
        <v>5.7347670250896057E-2</v>
      </c>
      <c r="I49" s="5">
        <v>7.1686945083853995E-2</v>
      </c>
      <c r="J49" s="5">
        <v>7.3209975864843124E-2</v>
      </c>
      <c r="K49" s="5">
        <v>6.9057815845824405E-2</v>
      </c>
      <c r="L49" s="5">
        <v>7.9386257505003333E-2</v>
      </c>
      <c r="M49" s="5">
        <v>5.7441253263707574E-2</v>
      </c>
      <c r="N49" s="5">
        <v>4.2577675489067893E-2</v>
      </c>
      <c r="O49" s="5">
        <v>5.2697616060225848E-2</v>
      </c>
      <c r="P49" s="5">
        <v>4.7879616963064295E-2</v>
      </c>
      <c r="Q49" s="5">
        <v>4.4293015332197615E-2</v>
      </c>
      <c r="R49" s="5">
        <v>4.3841336116910233E-2</v>
      </c>
      <c r="S49" s="5">
        <v>2.4444444444444446E-2</v>
      </c>
      <c r="T49" s="5">
        <v>3.3149171270718231E-2</v>
      </c>
      <c r="U49" s="5">
        <v>5.8823529411764705E-2</v>
      </c>
    </row>
    <row r="50" spans="2:21" x14ac:dyDescent="0.2">
      <c r="B50">
        <v>4</v>
      </c>
      <c r="C50" s="5">
        <v>0.12282608695652174</v>
      </c>
      <c r="D50" s="5">
        <v>0.11878581384543906</v>
      </c>
      <c r="E50" s="5">
        <v>0.11513963743263106</v>
      </c>
      <c r="F50" s="5">
        <v>0.11748281786941581</v>
      </c>
      <c r="G50" s="5">
        <v>0.12849964106245512</v>
      </c>
      <c r="H50" s="5">
        <v>7.2580645161290328E-2</v>
      </c>
      <c r="I50" s="5">
        <v>5.1298914830647815E-2</v>
      </c>
      <c r="J50" s="5">
        <v>6.5969428801287214E-2</v>
      </c>
      <c r="K50" s="5">
        <v>6.2633832976445397E-2</v>
      </c>
      <c r="L50" s="5">
        <v>6.6711140760507007E-2</v>
      </c>
      <c r="M50" s="5">
        <v>7.1366405570060923E-2</v>
      </c>
      <c r="N50" s="5">
        <v>4.9482163406214037E-2</v>
      </c>
      <c r="O50" s="5">
        <v>4.1405269761606023E-2</v>
      </c>
      <c r="P50" s="5">
        <v>5.0615595075239397E-2</v>
      </c>
      <c r="Q50" s="5">
        <v>4.9403747870528106E-2</v>
      </c>
      <c r="R50" s="5">
        <v>3.7578288100208766E-2</v>
      </c>
      <c r="S50" s="5">
        <v>4.6666666666666669E-2</v>
      </c>
      <c r="T50" s="5">
        <v>3.0386740331491711E-2</v>
      </c>
      <c r="U50" s="5">
        <v>3.2352941176470591E-2</v>
      </c>
    </row>
    <row r="51" spans="2:21" x14ac:dyDescent="0.2">
      <c r="B51" s="35">
        <v>5</v>
      </c>
      <c r="C51" s="5">
        <v>7.5905797101449277E-2</v>
      </c>
      <c r="D51" s="5">
        <v>0.10500232306024469</v>
      </c>
      <c r="E51" s="5">
        <v>0.10909684795035114</v>
      </c>
      <c r="F51" s="5">
        <v>0.10760309278350516</v>
      </c>
      <c r="G51" s="5">
        <v>0.10863843024647045</v>
      </c>
      <c r="H51" s="5">
        <v>0.11768219832735961</v>
      </c>
      <c r="I51" s="5">
        <v>6.4781321933574484E-2</v>
      </c>
      <c r="J51" s="5">
        <v>4.8270313757039419E-2</v>
      </c>
      <c r="K51" s="5">
        <v>5.8351177730192723E-2</v>
      </c>
      <c r="L51" s="5">
        <v>5.4703135423615747E-2</v>
      </c>
      <c r="M51" s="5">
        <v>5.6570931244560488E-2</v>
      </c>
      <c r="N51" s="5">
        <v>5.9838895281933258E-2</v>
      </c>
      <c r="O51" s="5">
        <v>5.0188205771643665E-2</v>
      </c>
      <c r="P51" s="5">
        <v>4.240766073871409E-2</v>
      </c>
      <c r="Q51" s="5">
        <v>5.4514480408858604E-2</v>
      </c>
      <c r="R51" s="5">
        <v>4.5929018789144051E-2</v>
      </c>
      <c r="S51" s="5">
        <v>0.04</v>
      </c>
      <c r="T51" s="5">
        <v>5.8011049723756904E-2</v>
      </c>
      <c r="U51" s="5">
        <v>2.9411764705882353E-2</v>
      </c>
    </row>
    <row r="52" spans="2:21" x14ac:dyDescent="0.2">
      <c r="B52">
        <v>6</v>
      </c>
      <c r="C52" s="5">
        <v>4.2753623188405795E-2</v>
      </c>
      <c r="D52" s="5">
        <v>6.4581074802539884E-2</v>
      </c>
      <c r="E52" s="5">
        <v>9.7664543524416142E-2</v>
      </c>
      <c r="F52" s="5">
        <v>0.10309278350515463</v>
      </c>
      <c r="G52" s="5">
        <v>9.9545345776501551E-2</v>
      </c>
      <c r="H52" s="5">
        <v>0.10005973715651136</v>
      </c>
      <c r="I52" s="5">
        <v>0.10720157842814863</v>
      </c>
      <c r="J52" s="5">
        <v>5.6717618664521317E-2</v>
      </c>
      <c r="K52" s="5">
        <v>3.8008565310492508E-2</v>
      </c>
      <c r="L52" s="5">
        <v>5.3368912608405601E-2</v>
      </c>
      <c r="M52" s="5">
        <v>5.0478677110530897E-2</v>
      </c>
      <c r="N52" s="5">
        <v>5.2934407364787113E-2</v>
      </c>
      <c r="O52" s="5">
        <v>5.8971141781681308E-2</v>
      </c>
      <c r="P52" s="5">
        <v>5.0615595075239397E-2</v>
      </c>
      <c r="Q52" s="5">
        <v>4.5996592844974447E-2</v>
      </c>
      <c r="R52" s="5">
        <v>5.2192066805845511E-2</v>
      </c>
      <c r="S52" s="5">
        <v>4.8888888888888891E-2</v>
      </c>
      <c r="T52" s="5">
        <v>4.4198895027624308E-2</v>
      </c>
      <c r="U52" s="5">
        <v>6.1764705882352944E-2</v>
      </c>
    </row>
    <row r="53" spans="2:21" x14ac:dyDescent="0.2">
      <c r="B53" s="35">
        <v>7</v>
      </c>
      <c r="C53" s="5">
        <v>6.7572463768115945E-2</v>
      </c>
      <c r="D53" s="5">
        <v>3.6549481183212017E-2</v>
      </c>
      <c r="E53" s="5">
        <v>6.0591213457455495E-2</v>
      </c>
      <c r="F53" s="5">
        <v>8.9991408934707903E-2</v>
      </c>
      <c r="G53" s="5">
        <v>9.2366594879157687E-2</v>
      </c>
      <c r="H53" s="5">
        <v>9.4086021505376344E-2</v>
      </c>
      <c r="I53" s="5">
        <v>9.7007563301545544E-2</v>
      </c>
      <c r="J53" s="5">
        <v>9.9758648431214805E-2</v>
      </c>
      <c r="K53" s="5">
        <v>5.0856531049250538E-2</v>
      </c>
      <c r="L53" s="5">
        <v>3.6691127418278853E-2</v>
      </c>
      <c r="M53" s="5">
        <v>4.5256744995648392E-2</v>
      </c>
      <c r="N53" s="5">
        <v>5.5235903337169157E-2</v>
      </c>
      <c r="O53" s="5">
        <v>5.520702634880803E-2</v>
      </c>
      <c r="P53" s="5">
        <v>6.0191518467852256E-2</v>
      </c>
      <c r="Q53" s="5">
        <v>5.4514480408858604E-2</v>
      </c>
      <c r="R53" s="5">
        <v>4.8016701461377868E-2</v>
      </c>
      <c r="S53" s="5">
        <v>5.5555555555555552E-2</v>
      </c>
      <c r="T53" s="5">
        <v>5.2486187845303865E-2</v>
      </c>
      <c r="U53" s="5">
        <v>4.7058823529411764E-2</v>
      </c>
    </row>
    <row r="54" spans="2:21" x14ac:dyDescent="0.2">
      <c r="B54">
        <v>8</v>
      </c>
      <c r="C54" s="5">
        <v>5.1086956521739134E-2</v>
      </c>
      <c r="D54" s="5">
        <v>5.7611894068452844E-2</v>
      </c>
      <c r="E54" s="5">
        <v>3.3153682835211501E-2</v>
      </c>
      <c r="F54" s="5">
        <v>5.3264604810996562E-2</v>
      </c>
      <c r="G54" s="5">
        <v>8.1359176836563768E-2</v>
      </c>
      <c r="H54" s="5">
        <v>8.8112305854241332E-2</v>
      </c>
      <c r="I54" s="5">
        <v>8.9444261756001314E-2</v>
      </c>
      <c r="J54" s="5">
        <v>9.1713596138374903E-2</v>
      </c>
      <c r="K54" s="5">
        <v>9.2612419700214138E-2</v>
      </c>
      <c r="L54" s="5">
        <v>4.7364909939959975E-2</v>
      </c>
      <c r="M54" s="5">
        <v>3.8294168842471714E-2</v>
      </c>
      <c r="N54" s="5">
        <v>5.2934407364787113E-2</v>
      </c>
      <c r="O54" s="5">
        <v>5.0188205771643665E-2</v>
      </c>
      <c r="P54" s="5">
        <v>5.1983584131326949E-2</v>
      </c>
      <c r="Q54" s="5">
        <v>6.8143100511073251E-2</v>
      </c>
      <c r="R54" s="5">
        <v>5.2192066805845511E-2</v>
      </c>
      <c r="S54" s="5">
        <v>4.8888888888888891E-2</v>
      </c>
      <c r="T54" s="5">
        <v>6.3535911602209949E-2</v>
      </c>
      <c r="U54" s="5">
        <v>5.5882352941176473E-2</v>
      </c>
    </row>
    <row r="55" spans="2:21" x14ac:dyDescent="0.2">
      <c r="B55" s="35">
        <v>9</v>
      </c>
      <c r="C55" s="5">
        <v>4.7644927536231882E-2</v>
      </c>
      <c r="D55" s="5">
        <v>4.3673532600278765E-2</v>
      </c>
      <c r="E55" s="5">
        <v>5.1445369916707499E-2</v>
      </c>
      <c r="F55" s="5">
        <v>3.3290378006872852E-2</v>
      </c>
      <c r="G55" s="5">
        <v>4.9054797798516389E-2</v>
      </c>
      <c r="H55" s="5">
        <v>7.3775388291517321E-2</v>
      </c>
      <c r="I55" s="5">
        <v>7.7606050641236435E-2</v>
      </c>
      <c r="J55" s="5">
        <v>8.8093322606596941E-2</v>
      </c>
      <c r="K55" s="5">
        <v>9.1541755888650961E-2</v>
      </c>
      <c r="L55" s="5">
        <v>9.13942628418946E-2</v>
      </c>
      <c r="M55" s="5">
        <v>4.4386422976501305E-2</v>
      </c>
      <c r="N55" s="5">
        <v>3.6823935558112773E-2</v>
      </c>
      <c r="O55" s="5">
        <v>5.6461731493099125E-2</v>
      </c>
      <c r="P55" s="5">
        <v>5.4719562243502051E-2</v>
      </c>
      <c r="Q55" s="5">
        <v>5.9625212947189095E-2</v>
      </c>
      <c r="R55" s="5">
        <v>7.3068893528183715E-2</v>
      </c>
      <c r="S55" s="5">
        <v>5.5555555555555552E-2</v>
      </c>
      <c r="T55" s="5">
        <v>5.5248618784530384E-2</v>
      </c>
      <c r="U55" s="5">
        <v>6.7647058823529407E-2</v>
      </c>
    </row>
    <row r="56" spans="2:21" x14ac:dyDescent="0.2">
      <c r="B56">
        <v>10</v>
      </c>
      <c r="C56" s="5">
        <v>3.6594202898550726E-2</v>
      </c>
      <c r="D56" s="5">
        <v>4.073098962366424E-2</v>
      </c>
      <c r="E56" s="5">
        <v>4.1482933202678422E-2</v>
      </c>
      <c r="F56" s="5">
        <v>4.7250859106529208E-2</v>
      </c>
      <c r="G56" s="5">
        <v>3.0390045465422351E-2</v>
      </c>
      <c r="H56" s="5">
        <v>4.8088410991636799E-2</v>
      </c>
      <c r="I56" s="5">
        <v>7.1686945083853995E-2</v>
      </c>
      <c r="J56" s="5">
        <v>7.2405470635559133E-2</v>
      </c>
      <c r="K56" s="5">
        <v>9.0471092077087797E-2</v>
      </c>
      <c r="L56" s="5">
        <v>9.2061374249499672E-2</v>
      </c>
      <c r="M56" s="5">
        <v>9.0513489991296783E-2</v>
      </c>
      <c r="N56" s="5">
        <v>4.1426927502876867E-2</v>
      </c>
      <c r="O56" s="5">
        <v>3.889585947302384E-2</v>
      </c>
      <c r="P56" s="5">
        <v>5.7455540355677154E-2</v>
      </c>
      <c r="Q56" s="5">
        <v>6.1328790459965928E-2</v>
      </c>
      <c r="R56" s="5">
        <v>6.2630480167014613E-2</v>
      </c>
      <c r="S56" s="5">
        <v>7.5555555555555556E-2</v>
      </c>
      <c r="T56" s="5">
        <v>6.6298342541436461E-2</v>
      </c>
      <c r="U56" s="5">
        <v>5.5882352941176473E-2</v>
      </c>
    </row>
    <row r="57" spans="2:21" x14ac:dyDescent="0.2">
      <c r="B57" s="35">
        <v>11</v>
      </c>
      <c r="C57" s="5">
        <v>2.8804347826086957E-2</v>
      </c>
      <c r="D57" s="5">
        <v>3.1129007278922101E-2</v>
      </c>
      <c r="E57" s="5">
        <v>3.8379879144210358E-2</v>
      </c>
      <c r="F57" s="5">
        <v>4.0378006872852236E-2</v>
      </c>
      <c r="G57" s="5">
        <v>4.4508255563531947E-2</v>
      </c>
      <c r="H57" s="5">
        <v>2.8375149342891277E-2</v>
      </c>
      <c r="I57" s="5">
        <v>4.5050970075633016E-2</v>
      </c>
      <c r="J57" s="5">
        <v>6.5567176186645218E-2</v>
      </c>
      <c r="K57" s="5">
        <v>7.5481798715203427E-2</v>
      </c>
      <c r="L57" s="5">
        <v>8.9392928619079381E-2</v>
      </c>
      <c r="M57" s="5">
        <v>9.921671018276762E-2</v>
      </c>
      <c r="N57" s="5">
        <v>8.6306098964326811E-2</v>
      </c>
      <c r="O57" s="5">
        <v>4.1405269761606023E-2</v>
      </c>
      <c r="P57" s="5">
        <v>3.9671682626538987E-2</v>
      </c>
      <c r="Q57" s="5">
        <v>5.6218057921635436E-2</v>
      </c>
      <c r="R57" s="5">
        <v>6.471816283924843E-2</v>
      </c>
      <c r="S57" s="5">
        <v>6.4444444444444443E-2</v>
      </c>
      <c r="T57" s="5">
        <v>7.4585635359116026E-2</v>
      </c>
      <c r="U57" s="5">
        <v>7.0588235294117646E-2</v>
      </c>
    </row>
    <row r="58" spans="2:21" x14ac:dyDescent="0.2">
      <c r="B58">
        <v>12</v>
      </c>
      <c r="C58" s="5">
        <v>2.753623188405797E-2</v>
      </c>
      <c r="D58" s="5">
        <v>2.4314697227814774E-2</v>
      </c>
      <c r="E58" s="5">
        <v>2.6947574718275354E-2</v>
      </c>
      <c r="F58" s="5">
        <v>3.4149484536082471E-2</v>
      </c>
      <c r="G58" s="5">
        <v>3.8286671452500601E-2</v>
      </c>
      <c r="H58" s="5">
        <v>3.9725209080047792E-2</v>
      </c>
      <c r="I58" s="5">
        <v>2.5978296612956264E-2</v>
      </c>
      <c r="J58" s="5">
        <v>4.3845534995977473E-2</v>
      </c>
      <c r="K58" s="5">
        <v>6.5845824411134901E-2</v>
      </c>
      <c r="L58" s="5">
        <v>7.3382254836557706E-2</v>
      </c>
      <c r="M58" s="5">
        <v>8.964316797214969E-2</v>
      </c>
      <c r="N58" s="5">
        <v>0.10701956271576525</v>
      </c>
      <c r="O58" s="5">
        <v>8.9084065244667499E-2</v>
      </c>
      <c r="P58" s="5">
        <v>4.5143638850889192E-2</v>
      </c>
      <c r="Q58" s="5">
        <v>4.0885860306643949E-2</v>
      </c>
      <c r="R58" s="5">
        <v>5.845511482254697E-2</v>
      </c>
      <c r="S58" s="5">
        <v>6.4444444444444443E-2</v>
      </c>
      <c r="T58" s="5">
        <v>7.18232044198895E-2</v>
      </c>
      <c r="U58" s="5">
        <v>7.9411764705882348E-2</v>
      </c>
    </row>
    <row r="59" spans="2:21" x14ac:dyDescent="0.2">
      <c r="B59" s="35">
        <v>13</v>
      </c>
      <c r="C59" s="5">
        <v>1.9927536231884056E-2</v>
      </c>
      <c r="D59" s="5">
        <v>2.3540343812916215E-2</v>
      </c>
      <c r="E59" s="5">
        <v>2.1231422505307854E-2</v>
      </c>
      <c r="F59" s="5">
        <v>2.5128865979381444E-2</v>
      </c>
      <c r="G59" s="5">
        <v>3.1107920555156737E-2</v>
      </c>
      <c r="H59" s="5">
        <v>3.7933094384707287E-2</v>
      </c>
      <c r="I59" s="5">
        <v>3.5185794146662279E-2</v>
      </c>
      <c r="J59" s="5">
        <v>2.4537409493161706E-2</v>
      </c>
      <c r="K59" s="5">
        <v>4.6573875802997856E-2</v>
      </c>
      <c r="L59" s="5">
        <v>6.1374249499666446E-2</v>
      </c>
      <c r="M59" s="5">
        <v>7.0496083550913843E-2</v>
      </c>
      <c r="N59" s="5">
        <v>8.5155350978135785E-2</v>
      </c>
      <c r="O59" s="5">
        <v>0.11041405269761606</v>
      </c>
      <c r="P59" s="5">
        <v>8.6183310533515731E-2</v>
      </c>
      <c r="Q59" s="5">
        <v>5.1107325383304938E-2</v>
      </c>
      <c r="R59" s="5">
        <v>4.3841336116910233E-2</v>
      </c>
      <c r="S59" s="5">
        <v>0.06</v>
      </c>
      <c r="T59" s="5">
        <v>7.18232044198895E-2</v>
      </c>
      <c r="U59" s="5">
        <v>7.3529411764705885E-2</v>
      </c>
    </row>
    <row r="60" spans="2:21" x14ac:dyDescent="0.2">
      <c r="B60">
        <v>14</v>
      </c>
      <c r="C60" s="5">
        <v>1.5579710144927537E-2</v>
      </c>
      <c r="D60" s="5">
        <v>1.7035775127768313E-2</v>
      </c>
      <c r="E60" s="5">
        <v>2.0414829332026783E-2</v>
      </c>
      <c r="F60" s="5">
        <v>1.8900343642611683E-2</v>
      </c>
      <c r="G60" s="5">
        <v>2.0339794209140942E-2</v>
      </c>
      <c r="H60" s="5">
        <v>2.8673835125448029E-2</v>
      </c>
      <c r="I60" s="5">
        <v>3.5843472541926998E-2</v>
      </c>
      <c r="J60" s="5">
        <v>3.0973451327433628E-2</v>
      </c>
      <c r="K60" s="5">
        <v>2.569593147751606E-2</v>
      </c>
      <c r="L60" s="5">
        <v>4.803202134756504E-2</v>
      </c>
      <c r="M60" s="5">
        <v>5.918189730200174E-2</v>
      </c>
      <c r="N60" s="5">
        <v>7.5949367088607597E-2</v>
      </c>
      <c r="O60" s="5">
        <v>8.4065244667503133E-2</v>
      </c>
      <c r="P60" s="5">
        <v>0.1094391244870041</v>
      </c>
      <c r="Q60" s="5">
        <v>8.6882453151618397E-2</v>
      </c>
      <c r="R60" s="5">
        <v>5.2192066805845511E-2</v>
      </c>
      <c r="S60" s="5">
        <v>4.2222222222222223E-2</v>
      </c>
      <c r="T60" s="5">
        <v>5.8011049723756904E-2</v>
      </c>
      <c r="U60" s="5">
        <v>7.6470588235294124E-2</v>
      </c>
    </row>
    <row r="61" spans="2:21" x14ac:dyDescent="0.2">
      <c r="B61" s="35">
        <v>15</v>
      </c>
      <c r="C61" s="5">
        <v>1.6123188405797101E-2</v>
      </c>
      <c r="D61" s="5">
        <v>1.3318878736255226E-2</v>
      </c>
      <c r="E61" s="5">
        <v>1.4372039849746856E-2</v>
      </c>
      <c r="F61" s="5">
        <v>1.5893470790378006E-2</v>
      </c>
      <c r="G61" s="5">
        <v>1.5314668581000239E-2</v>
      </c>
      <c r="H61" s="5">
        <v>1.8518518518518517E-2</v>
      </c>
      <c r="I61" s="5">
        <v>2.4662939822426833E-2</v>
      </c>
      <c r="J61" s="5">
        <v>3.2582461786001611E-2</v>
      </c>
      <c r="K61" s="5">
        <v>2.7301927194860815E-2</v>
      </c>
      <c r="L61" s="5">
        <v>2.2014676450967312E-2</v>
      </c>
      <c r="M61" s="5">
        <v>4.8738033072236731E-2</v>
      </c>
      <c r="N61" s="5">
        <v>5.4085155350978138E-2</v>
      </c>
      <c r="O61" s="5">
        <v>7.4027603513174403E-2</v>
      </c>
      <c r="P61" s="5">
        <v>7.7975376196990423E-2</v>
      </c>
      <c r="Q61" s="5">
        <v>0.10221465076660988</v>
      </c>
      <c r="R61" s="5">
        <v>9.6033402922755737E-2</v>
      </c>
      <c r="S61" s="5">
        <v>5.1111111111111114E-2</v>
      </c>
      <c r="T61" s="5">
        <v>4.1436464088397788E-2</v>
      </c>
      <c r="U61" s="5">
        <v>0.05</v>
      </c>
    </row>
    <row r="62" spans="2:21" x14ac:dyDescent="0.2">
      <c r="B62">
        <v>16</v>
      </c>
      <c r="C62" s="5">
        <v>7.0652173913043478E-3</v>
      </c>
      <c r="D62" s="5">
        <v>1.3318878736255226E-2</v>
      </c>
      <c r="E62" s="5">
        <v>1.02890739833415E-2</v>
      </c>
      <c r="F62" s="5">
        <v>1.0738831615120275E-2</v>
      </c>
      <c r="G62" s="5">
        <v>1.340033500837521E-2</v>
      </c>
      <c r="H62" s="5">
        <v>1.2843488649940263E-2</v>
      </c>
      <c r="I62" s="5">
        <v>1.4797763893456099E-2</v>
      </c>
      <c r="J62" s="5">
        <v>2.0112630732099759E-2</v>
      </c>
      <c r="K62" s="5">
        <v>2.9978586723768737E-2</v>
      </c>
      <c r="L62" s="5">
        <v>2.401601067378252E-2</v>
      </c>
      <c r="M62" s="5">
        <v>1.9147084421235857E-2</v>
      </c>
      <c r="N62" s="5">
        <v>4.1426927502876867E-2</v>
      </c>
      <c r="O62" s="5">
        <v>4.51693851944793E-2</v>
      </c>
      <c r="P62" s="5">
        <v>6.7031463748290013E-2</v>
      </c>
      <c r="Q62" s="5">
        <v>7.1550255536626917E-2</v>
      </c>
      <c r="R62" s="5">
        <v>0.10020876826722339</v>
      </c>
      <c r="S62" s="5">
        <v>8.666666666666667E-2</v>
      </c>
      <c r="T62" s="5">
        <v>4.4198895027624308E-2</v>
      </c>
      <c r="U62" s="5">
        <v>4.4117647058823532E-2</v>
      </c>
    </row>
    <row r="63" spans="2:21" x14ac:dyDescent="0.2">
      <c r="B63" s="35">
        <v>17</v>
      </c>
      <c r="C63" s="5">
        <v>2.5362318840579708E-3</v>
      </c>
      <c r="D63" s="5">
        <v>5.5753445872696299E-3</v>
      </c>
      <c r="E63" s="5">
        <v>8.6558876367793559E-3</v>
      </c>
      <c r="F63" s="5">
        <v>6.4432989690721646E-3</v>
      </c>
      <c r="G63" s="5">
        <v>9.3323761665470208E-3</v>
      </c>
      <c r="H63" s="5">
        <v>9.8566308243727592E-3</v>
      </c>
      <c r="I63" s="5">
        <v>1.0194015126603092E-2</v>
      </c>
      <c r="J63" s="5">
        <v>1.0056315366049879E-2</v>
      </c>
      <c r="K63" s="5">
        <v>1.980728051391863E-2</v>
      </c>
      <c r="L63" s="5">
        <v>2.6017344896597731E-2</v>
      </c>
      <c r="M63" s="5">
        <v>1.8276762402088774E-2</v>
      </c>
      <c r="N63" s="5">
        <v>1.611047180667434E-2</v>
      </c>
      <c r="O63" s="5">
        <v>3.5131744040150563E-2</v>
      </c>
      <c r="P63" s="5">
        <v>3.5567715458276333E-2</v>
      </c>
      <c r="Q63" s="5">
        <v>5.2810902896081771E-2</v>
      </c>
      <c r="R63" s="5">
        <v>5.2192066805845511E-2</v>
      </c>
      <c r="S63" s="5">
        <v>8.666666666666667E-2</v>
      </c>
      <c r="T63" s="5">
        <v>5.2486187845303865E-2</v>
      </c>
      <c r="U63" s="5">
        <v>2.9411764705882353E-2</v>
      </c>
    </row>
    <row r="64" spans="2:21" x14ac:dyDescent="0.2">
      <c r="B64">
        <v>18</v>
      </c>
      <c r="C64" s="5">
        <v>2.717391304347826E-3</v>
      </c>
      <c r="D64" s="5">
        <v>2.0133188787362553E-3</v>
      </c>
      <c r="E64" s="5">
        <v>3.2663726931242854E-3</v>
      </c>
      <c r="F64" s="5">
        <v>4.2955326460481103E-3</v>
      </c>
      <c r="G64" s="5">
        <v>5.7430007178750899E-3</v>
      </c>
      <c r="H64" s="5">
        <v>5.3763440860215058E-3</v>
      </c>
      <c r="I64" s="5">
        <v>7.5633015455442293E-3</v>
      </c>
      <c r="J64" s="5">
        <v>6.8382944489139182E-3</v>
      </c>
      <c r="K64" s="5">
        <v>9.1006423982869372E-3</v>
      </c>
      <c r="L64" s="5">
        <v>1.2675116744496331E-2</v>
      </c>
      <c r="M64" s="5">
        <v>2.0887728459530026E-2</v>
      </c>
      <c r="N64" s="5">
        <v>1.4959723820483314E-2</v>
      </c>
      <c r="O64" s="5">
        <v>1.2547051442910916E-2</v>
      </c>
      <c r="P64" s="5">
        <v>3.2831737346101231E-2</v>
      </c>
      <c r="Q64" s="5">
        <v>1.7035775127768313E-2</v>
      </c>
      <c r="R64" s="5">
        <v>4.8016701461377868E-2</v>
      </c>
      <c r="S64" s="5">
        <v>3.7777777777777778E-2</v>
      </c>
      <c r="T64" s="5">
        <v>5.8011049723756904E-2</v>
      </c>
      <c r="U64" s="5">
        <v>4.1176470588235294E-2</v>
      </c>
    </row>
    <row r="65" spans="2:21" x14ac:dyDescent="0.2">
      <c r="B65" s="35">
        <v>19</v>
      </c>
      <c r="C65" s="5">
        <v>1.2681159420289854E-3</v>
      </c>
      <c r="D65" s="5">
        <v>1.8584481957565433E-3</v>
      </c>
      <c r="E65" s="5">
        <v>1.3065490772497142E-3</v>
      </c>
      <c r="F65" s="5">
        <v>6.4432989690721648E-4</v>
      </c>
      <c r="G65" s="5">
        <v>2.632208662359416E-3</v>
      </c>
      <c r="H65" s="5">
        <v>4.4802867383512543E-3</v>
      </c>
      <c r="I65" s="5">
        <v>2.6307135810588623E-3</v>
      </c>
      <c r="J65" s="5">
        <v>3.6202735317779565E-3</v>
      </c>
      <c r="K65" s="5">
        <v>4.2826552462526769E-3</v>
      </c>
      <c r="L65" s="5">
        <v>4.6697798532354907E-3</v>
      </c>
      <c r="M65" s="5">
        <v>8.7032201914708437E-3</v>
      </c>
      <c r="N65" s="5">
        <v>1.611047180667434E-2</v>
      </c>
      <c r="O65" s="5">
        <v>8.7829360100376407E-3</v>
      </c>
      <c r="P65" s="5">
        <v>8.2079343365253077E-3</v>
      </c>
      <c r="Q65" s="5">
        <v>1.3628620102214651E-2</v>
      </c>
      <c r="R65" s="5">
        <v>1.0438413361169102E-2</v>
      </c>
      <c r="S65" s="5">
        <v>2.6666666666666668E-2</v>
      </c>
      <c r="T65" s="5">
        <v>2.2099447513812154E-2</v>
      </c>
      <c r="U65" s="5">
        <v>3.5294117647058823E-2</v>
      </c>
    </row>
    <row r="66" spans="2:21" x14ac:dyDescent="0.2">
      <c r="B66">
        <v>20</v>
      </c>
      <c r="C66" s="5">
        <v>7.246376811594203E-4</v>
      </c>
      <c r="D66" s="5">
        <v>9.2922409787827166E-4</v>
      </c>
      <c r="E66" s="5">
        <v>1.1432304425934999E-3</v>
      </c>
      <c r="F66" s="5">
        <v>2.1477663230240549E-4</v>
      </c>
      <c r="G66" s="5">
        <v>0</v>
      </c>
      <c r="H66" s="5">
        <v>1.1947431302270011E-3</v>
      </c>
      <c r="I66" s="5">
        <v>3.2883919763235779E-3</v>
      </c>
      <c r="J66" s="5">
        <v>8.045052292839903E-4</v>
      </c>
      <c r="K66" s="5">
        <v>2.1413276231263384E-3</v>
      </c>
      <c r="L66" s="5">
        <v>1.33422281521014E-3</v>
      </c>
      <c r="M66" s="5">
        <v>2.6109660574412533E-3</v>
      </c>
      <c r="N66" s="5">
        <v>3.4522439585730723E-3</v>
      </c>
      <c r="O66" s="5">
        <v>1.1292346298619825E-2</v>
      </c>
      <c r="P66" s="5">
        <v>4.1039671682626538E-3</v>
      </c>
      <c r="Q66" s="5">
        <v>5.1107325383304937E-3</v>
      </c>
      <c r="R66" s="5">
        <v>2.0876826722338203E-3</v>
      </c>
      <c r="S66" s="5">
        <v>4.4444444444444444E-3</v>
      </c>
      <c r="T66" s="5">
        <v>1.1049723756906077E-2</v>
      </c>
      <c r="U66" s="5">
        <v>1.7647058823529412E-2</v>
      </c>
    </row>
    <row r="67" spans="2:21" x14ac:dyDescent="0.2">
      <c r="C67" s="5"/>
      <c r="D67" s="5"/>
      <c r="E67" s="5"/>
      <c r="F67" s="5"/>
      <c r="G67" s="5"/>
      <c r="H67" s="5"/>
      <c r="I67" s="5"/>
      <c r="J67" s="5"/>
      <c r="K67" s="5"/>
      <c r="L67" s="5"/>
      <c r="M67" s="5"/>
      <c r="N67" s="5"/>
      <c r="O67" s="5"/>
      <c r="P67" s="5"/>
      <c r="Q67" s="5"/>
      <c r="R67" s="5"/>
      <c r="S67" s="5"/>
    </row>
    <row r="69" spans="2:21" x14ac:dyDescent="0.2">
      <c r="C69" s="6">
        <f>12097*C47</f>
        <v>1818.9329710144928</v>
      </c>
    </row>
    <row r="70" spans="2:21" x14ac:dyDescent="0.2">
      <c r="C70" s="6">
        <f t="shared" ref="C70:C88" si="6">12097*C48</f>
        <v>1742.2309782608695</v>
      </c>
    </row>
    <row r="71" spans="2:21" x14ac:dyDescent="0.2">
      <c r="C71" s="6">
        <f t="shared" si="6"/>
        <v>1680.869384057971</v>
      </c>
    </row>
    <row r="72" spans="2:21" x14ac:dyDescent="0.2">
      <c r="C72" s="6">
        <f t="shared" si="6"/>
        <v>1485.8271739130435</v>
      </c>
    </row>
    <row r="73" spans="2:21" x14ac:dyDescent="0.2">
      <c r="C73" s="6">
        <f t="shared" si="6"/>
        <v>918.23242753623185</v>
      </c>
    </row>
    <row r="74" spans="2:21" x14ac:dyDescent="0.2">
      <c r="C74" s="6">
        <f t="shared" si="6"/>
        <v>517.1905797101449</v>
      </c>
    </row>
    <row r="75" spans="2:21" x14ac:dyDescent="0.2">
      <c r="C75" s="6">
        <f t="shared" si="6"/>
        <v>817.42409420289857</v>
      </c>
    </row>
    <row r="76" spans="2:21" x14ac:dyDescent="0.2">
      <c r="C76" s="6">
        <f t="shared" si="6"/>
        <v>617.9989130434783</v>
      </c>
    </row>
    <row r="77" spans="2:21" x14ac:dyDescent="0.2">
      <c r="C77" s="6">
        <f t="shared" si="6"/>
        <v>576.36068840579708</v>
      </c>
    </row>
    <row r="78" spans="2:21" x14ac:dyDescent="0.2">
      <c r="C78" s="6">
        <f t="shared" si="6"/>
        <v>442.68007246376811</v>
      </c>
    </row>
    <row r="79" spans="2:21" x14ac:dyDescent="0.2">
      <c r="C79" s="6">
        <f t="shared" si="6"/>
        <v>348.44619565217391</v>
      </c>
    </row>
    <row r="80" spans="2:21" x14ac:dyDescent="0.2">
      <c r="C80" s="6">
        <f t="shared" si="6"/>
        <v>333.10579710144924</v>
      </c>
    </row>
    <row r="81" spans="3:3" x14ac:dyDescent="0.2">
      <c r="C81" s="6">
        <f t="shared" si="6"/>
        <v>241.06340579710144</v>
      </c>
    </row>
    <row r="82" spans="3:3" x14ac:dyDescent="0.2">
      <c r="C82" s="6">
        <f t="shared" si="6"/>
        <v>188.46775362318843</v>
      </c>
    </row>
    <row r="83" spans="3:3" x14ac:dyDescent="0.2">
      <c r="C83" s="6">
        <f t="shared" si="6"/>
        <v>195.04221014492754</v>
      </c>
    </row>
    <row r="84" spans="3:3" x14ac:dyDescent="0.2">
      <c r="C84" s="6">
        <f t="shared" si="6"/>
        <v>85.467934782608694</v>
      </c>
    </row>
    <row r="85" spans="3:3" x14ac:dyDescent="0.2">
      <c r="C85" s="6">
        <f t="shared" si="6"/>
        <v>30.680797101449272</v>
      </c>
    </row>
    <row r="86" spans="3:3" x14ac:dyDescent="0.2">
      <c r="C86" s="6">
        <f t="shared" si="6"/>
        <v>32.872282608695649</v>
      </c>
    </row>
    <row r="87" spans="3:3" x14ac:dyDescent="0.2">
      <c r="C87" s="6">
        <f t="shared" si="6"/>
        <v>15.340398550724636</v>
      </c>
    </row>
    <row r="88" spans="3:3" x14ac:dyDescent="0.2">
      <c r="C88" s="6">
        <f t="shared" si="6"/>
        <v>8.7659420289855081</v>
      </c>
    </row>
    <row r="89" spans="3:3" x14ac:dyDescent="0.2">
      <c r="C89" s="6">
        <f>SUM(C69:C88)</f>
        <v>12097.000000000002</v>
      </c>
    </row>
  </sheetData>
  <mergeCells count="2">
    <mergeCell ref="C1:W1"/>
    <mergeCell ref="C23:W23"/>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04C6C-E0E3-544C-B55D-044AA40C1D0A}">
  <sheetPr>
    <tabColor theme="8" tint="0.59999389629810485"/>
  </sheetPr>
  <dimension ref="A2:V75"/>
  <sheetViews>
    <sheetView workbookViewId="0">
      <selection activeCell="M38" sqref="M38"/>
    </sheetView>
  </sheetViews>
  <sheetFormatPr baseColWidth="10" defaultRowHeight="16" x14ac:dyDescent="0.2"/>
  <cols>
    <col min="2" max="2" width="14.6640625" bestFit="1" customWidth="1"/>
  </cols>
  <sheetData>
    <row r="2" spans="2:22" x14ac:dyDescent="0.2">
      <c r="B2" s="36" t="s">
        <v>163</v>
      </c>
      <c r="C2">
        <v>1995</v>
      </c>
      <c r="D2">
        <v>1996</v>
      </c>
      <c r="E2">
        <v>1997</v>
      </c>
      <c r="F2" s="37">
        <v>1998</v>
      </c>
      <c r="G2" s="37">
        <v>1999</v>
      </c>
      <c r="H2" s="37">
        <v>2000</v>
      </c>
      <c r="I2" s="37">
        <v>2001</v>
      </c>
      <c r="J2" s="37">
        <v>2002</v>
      </c>
      <c r="K2" s="37">
        <v>2003</v>
      </c>
      <c r="L2" s="37">
        <v>2004</v>
      </c>
      <c r="M2" s="37">
        <v>2005</v>
      </c>
      <c r="N2" s="37">
        <v>2006</v>
      </c>
      <c r="O2" s="37">
        <v>2007</v>
      </c>
      <c r="P2" s="37">
        <v>2008</v>
      </c>
      <c r="Q2" s="38">
        <v>2009</v>
      </c>
      <c r="R2" s="39">
        <v>2010</v>
      </c>
      <c r="S2" s="40">
        <v>2011</v>
      </c>
      <c r="T2" s="41">
        <v>2012</v>
      </c>
      <c r="U2" s="41">
        <v>2013</v>
      </c>
    </row>
    <row r="3" spans="2:22" x14ac:dyDescent="0.2">
      <c r="B3" s="42" t="s">
        <v>164</v>
      </c>
      <c r="C3">
        <v>0.33400000000000002</v>
      </c>
      <c r="D3">
        <v>0.28499999999999998</v>
      </c>
      <c r="F3" s="41">
        <v>0.224</v>
      </c>
      <c r="G3" s="41">
        <v>0.33900000000000002</v>
      </c>
      <c r="H3" s="41">
        <v>0.22700000000000001</v>
      </c>
      <c r="I3" s="41">
        <v>0.28999999999999998</v>
      </c>
      <c r="J3" s="41">
        <v>0.13800000000000001</v>
      </c>
      <c r="K3" s="41">
        <v>0.124</v>
      </c>
      <c r="L3" s="41">
        <v>0.123</v>
      </c>
      <c r="M3" s="41">
        <v>0.13</v>
      </c>
      <c r="N3" s="41">
        <v>0.23799999999999999</v>
      </c>
      <c r="O3" s="41">
        <v>0.186</v>
      </c>
      <c r="P3" s="41">
        <v>0.114</v>
      </c>
      <c r="Q3" s="43">
        <v>0.215</v>
      </c>
      <c r="R3" s="44">
        <v>0.29299999999999998</v>
      </c>
      <c r="S3" s="44">
        <v>0.307</v>
      </c>
      <c r="T3" s="41">
        <v>0.108</v>
      </c>
      <c r="U3" s="41">
        <v>0.184</v>
      </c>
    </row>
    <row r="4" spans="2:22" x14ac:dyDescent="0.2">
      <c r="B4" s="45" t="s">
        <v>165</v>
      </c>
      <c r="C4" s="5">
        <v>0.47</v>
      </c>
      <c r="D4">
        <v>0.498</v>
      </c>
      <c r="E4">
        <v>0.497</v>
      </c>
      <c r="F4">
        <v>0.46100000000000002</v>
      </c>
      <c r="G4">
        <v>0.51400000000000001</v>
      </c>
      <c r="H4">
        <v>0.49099999999999999</v>
      </c>
      <c r="I4">
        <v>0.496</v>
      </c>
      <c r="J4">
        <v>0.499</v>
      </c>
      <c r="K4">
        <v>0.51700000000000002</v>
      </c>
      <c r="L4">
        <v>0.503</v>
      </c>
      <c r="M4">
        <v>0.56899999999999995</v>
      </c>
      <c r="N4">
        <v>0.33300000000000002</v>
      </c>
      <c r="O4">
        <v>0.51600000000000001</v>
      </c>
      <c r="P4">
        <v>0.51400000000000001</v>
      </c>
      <c r="Q4">
        <v>0.46400000000000002</v>
      </c>
      <c r="R4" s="46">
        <f t="shared" ref="R4:U4" si="0">AVERAGE($C4:$Q4)</f>
        <v>0.48946666666666677</v>
      </c>
      <c r="S4" s="46">
        <f t="shared" si="0"/>
        <v>0.48946666666666677</v>
      </c>
      <c r="T4">
        <f>AVERAGE($C4:$Q4)</f>
        <v>0.48946666666666677</v>
      </c>
      <c r="U4">
        <f t="shared" si="0"/>
        <v>0.48946666666666677</v>
      </c>
    </row>
    <row r="6" spans="2:22" x14ac:dyDescent="0.2">
      <c r="C6" s="71" t="s">
        <v>166</v>
      </c>
      <c r="D6" s="71"/>
      <c r="E6" s="71"/>
      <c r="F6" s="71"/>
      <c r="G6" s="71"/>
      <c r="H6" s="71"/>
      <c r="I6" s="71"/>
      <c r="J6" s="71"/>
      <c r="K6" s="71"/>
      <c r="L6" s="71"/>
      <c r="M6" s="71"/>
      <c r="N6" s="71"/>
      <c r="O6" s="71"/>
      <c r="P6" s="71"/>
      <c r="Q6" s="71"/>
      <c r="R6" s="71"/>
      <c r="S6" s="71"/>
      <c r="T6" s="71"/>
      <c r="U6" s="72"/>
      <c r="V6" s="73" t="s">
        <v>167</v>
      </c>
    </row>
    <row r="7" spans="2:22" x14ac:dyDescent="0.2">
      <c r="B7" s="35" t="s">
        <v>83</v>
      </c>
      <c r="C7">
        <v>1995</v>
      </c>
      <c r="D7">
        <v>1996</v>
      </c>
      <c r="E7">
        <v>1997</v>
      </c>
      <c r="F7">
        <v>1998</v>
      </c>
      <c r="G7">
        <v>1999</v>
      </c>
      <c r="H7">
        <v>2000</v>
      </c>
      <c r="I7">
        <v>2001</v>
      </c>
      <c r="J7">
        <v>2002</v>
      </c>
      <c r="K7">
        <v>2003</v>
      </c>
      <c r="L7">
        <v>2004</v>
      </c>
      <c r="M7">
        <v>2005</v>
      </c>
      <c r="N7">
        <v>2006</v>
      </c>
      <c r="O7">
        <v>2007</v>
      </c>
      <c r="P7">
        <v>2008</v>
      </c>
      <c r="Q7">
        <v>2009</v>
      </c>
      <c r="R7">
        <v>2010</v>
      </c>
      <c r="S7">
        <v>2011</v>
      </c>
      <c r="T7">
        <v>2012</v>
      </c>
      <c r="U7">
        <v>2013</v>
      </c>
      <c r="V7" s="74"/>
    </row>
    <row r="8" spans="2:22" x14ac:dyDescent="0.2">
      <c r="B8">
        <v>1</v>
      </c>
      <c r="C8" s="5">
        <v>0.15036231884057971</v>
      </c>
      <c r="D8" s="5">
        <v>0.14836611429456403</v>
      </c>
      <c r="E8" s="5">
        <v>8.7702106810387065E-2</v>
      </c>
      <c r="F8" s="5">
        <v>6.593642611683849E-2</v>
      </c>
      <c r="G8" s="5">
        <v>8.5427135678391955E-2</v>
      </c>
      <c r="H8" s="5">
        <v>8.661887694145759E-2</v>
      </c>
      <c r="I8" s="5">
        <v>9.0101940151266033E-2</v>
      </c>
      <c r="J8" s="5">
        <v>9.5736122284794847E-2</v>
      </c>
      <c r="K8" s="5">
        <v>5.7815845824411134E-2</v>
      </c>
      <c r="L8" s="5">
        <v>5.9372915276851235E-2</v>
      </c>
      <c r="M8" s="5">
        <v>5.8311575282854654E-2</v>
      </c>
      <c r="N8" s="5">
        <v>5.2934407364787113E-2</v>
      </c>
      <c r="O8" s="5">
        <v>3.6386449184441658E-2</v>
      </c>
      <c r="P8" s="5">
        <v>3.8303693570451436E-2</v>
      </c>
      <c r="Q8" s="5">
        <v>2.385008517887564E-2</v>
      </c>
      <c r="R8" s="5">
        <v>3.1315240083507306E-2</v>
      </c>
      <c r="S8" s="5">
        <v>5.3333333333333337E-2</v>
      </c>
      <c r="T8" s="5">
        <v>3.0386740331491711E-2</v>
      </c>
      <c r="U8" s="5">
        <v>4.1176470588235294E-2</v>
      </c>
      <c r="V8" s="47">
        <v>8.4461156250000002E-2</v>
      </c>
    </row>
    <row r="9" spans="2:22" x14ac:dyDescent="0.2">
      <c r="B9">
        <v>2</v>
      </c>
      <c r="C9" s="5">
        <v>0.14402173913043478</v>
      </c>
      <c r="D9" s="5">
        <v>0.1285426668731609</v>
      </c>
      <c r="E9" s="5">
        <v>0.13408459905275191</v>
      </c>
      <c r="F9" s="5">
        <v>8.2689003436426115E-2</v>
      </c>
      <c r="G9" s="5">
        <v>6.1976549413735343E-2</v>
      </c>
      <c r="H9" s="5">
        <v>7.4671445639187581E-2</v>
      </c>
      <c r="I9" s="5">
        <v>7.3988819467280503E-2</v>
      </c>
      <c r="J9" s="5">
        <v>6.9187449718423166E-2</v>
      </c>
      <c r="K9" s="5">
        <v>8.2441113490364024E-2</v>
      </c>
      <c r="L9" s="5">
        <v>5.6037358238825885E-2</v>
      </c>
      <c r="M9" s="5">
        <v>5.0478677110530897E-2</v>
      </c>
      <c r="N9" s="5">
        <v>5.5235903337169157E-2</v>
      </c>
      <c r="O9" s="5">
        <v>4.7678795483061483E-2</v>
      </c>
      <c r="P9" s="5">
        <v>3.9671682626538987E-2</v>
      </c>
      <c r="Q9" s="5">
        <v>4.0885860306643949E-2</v>
      </c>
      <c r="R9" s="5">
        <v>2.5052192066805846E-2</v>
      </c>
      <c r="S9" s="5">
        <v>2.6666666666666668E-2</v>
      </c>
      <c r="T9" s="5">
        <v>6.0773480662983423E-2</v>
      </c>
      <c r="U9" s="5">
        <v>3.2352941176470591E-2</v>
      </c>
      <c r="V9" s="48">
        <v>0.76052011450364698</v>
      </c>
    </row>
    <row r="10" spans="2:22" x14ac:dyDescent="0.2">
      <c r="B10">
        <v>3</v>
      </c>
      <c r="C10" s="5">
        <v>0.13894927536231885</v>
      </c>
      <c r="D10" s="5">
        <v>0.12312219296887099</v>
      </c>
      <c r="E10" s="5">
        <v>0.1236322064347542</v>
      </c>
      <c r="F10" s="5">
        <v>0.14261168384879724</v>
      </c>
      <c r="G10" s="5">
        <v>8.2077051926298161E-2</v>
      </c>
      <c r="H10" s="5">
        <v>5.7347670250896057E-2</v>
      </c>
      <c r="I10" s="5">
        <v>7.1686945083853995E-2</v>
      </c>
      <c r="J10" s="5">
        <v>7.3209975864843124E-2</v>
      </c>
      <c r="K10" s="5">
        <v>6.9057815845824405E-2</v>
      </c>
      <c r="L10" s="5">
        <v>7.9386257505003333E-2</v>
      </c>
      <c r="M10" s="5">
        <v>5.7441253263707574E-2</v>
      </c>
      <c r="N10" s="5">
        <v>4.2577675489067893E-2</v>
      </c>
      <c r="O10" s="5">
        <v>5.2697616060225848E-2</v>
      </c>
      <c r="P10" s="5">
        <v>4.7879616963064295E-2</v>
      </c>
      <c r="Q10" s="5">
        <v>4.4293015332197615E-2</v>
      </c>
      <c r="R10" s="5">
        <v>4.3841336116910233E-2</v>
      </c>
      <c r="S10" s="5">
        <v>2.4444444444444446E-2</v>
      </c>
      <c r="T10" s="5">
        <v>3.3149171270718231E-2</v>
      </c>
      <c r="U10" s="5">
        <v>5.8823529411764705E-2</v>
      </c>
      <c r="V10" s="48">
        <v>0.79021628531101495</v>
      </c>
    </row>
    <row r="11" spans="2:22" x14ac:dyDescent="0.2">
      <c r="B11">
        <v>4</v>
      </c>
      <c r="C11" s="5">
        <v>0.12282608695652174</v>
      </c>
      <c r="D11" s="5">
        <v>0.11878581384543906</v>
      </c>
      <c r="E11" s="5">
        <v>0.11513963743263106</v>
      </c>
      <c r="F11" s="5">
        <v>0.11748281786941581</v>
      </c>
      <c r="G11" s="5">
        <v>0.12849964106245512</v>
      </c>
      <c r="H11" s="5">
        <v>7.2580645161290328E-2</v>
      </c>
      <c r="I11" s="5">
        <v>5.1298914830647815E-2</v>
      </c>
      <c r="J11" s="5">
        <v>6.5969428801287214E-2</v>
      </c>
      <c r="K11" s="5">
        <v>6.2633832976445397E-2</v>
      </c>
      <c r="L11" s="5">
        <v>6.6711140760507007E-2</v>
      </c>
      <c r="M11" s="5">
        <v>7.1366405570060923E-2</v>
      </c>
      <c r="N11" s="5">
        <v>4.9482163406214037E-2</v>
      </c>
      <c r="O11" s="5">
        <v>4.1405269761606023E-2</v>
      </c>
      <c r="P11" s="5">
        <v>5.0615595075239397E-2</v>
      </c>
      <c r="Q11" s="5">
        <v>4.9403747870528106E-2</v>
      </c>
      <c r="R11" s="5">
        <v>3.7578288100208766E-2</v>
      </c>
      <c r="S11" s="5">
        <v>4.6666666666666669E-2</v>
      </c>
      <c r="T11" s="5">
        <v>3.0386740331491711E-2</v>
      </c>
      <c r="U11" s="5">
        <v>3.2352941176470591E-2</v>
      </c>
      <c r="V11" s="48">
        <v>0.81906013632608798</v>
      </c>
    </row>
    <row r="12" spans="2:22" x14ac:dyDescent="0.2">
      <c r="B12">
        <v>5</v>
      </c>
      <c r="C12" s="5">
        <v>7.5905797101449277E-2</v>
      </c>
      <c r="D12" s="5">
        <v>0.10500232306024469</v>
      </c>
      <c r="E12" s="5">
        <v>0.10909684795035114</v>
      </c>
      <c r="F12" s="5">
        <v>0.10760309278350516</v>
      </c>
      <c r="G12" s="5">
        <v>0.10863843024647045</v>
      </c>
      <c r="H12" s="5">
        <v>0.11768219832735961</v>
      </c>
      <c r="I12" s="5">
        <v>6.4781321933574484E-2</v>
      </c>
      <c r="J12" s="5">
        <v>4.8270313757039419E-2</v>
      </c>
      <c r="K12" s="5">
        <v>5.8351177730192723E-2</v>
      </c>
      <c r="L12" s="5">
        <v>5.4703135423615747E-2</v>
      </c>
      <c r="M12" s="5">
        <v>5.6570931244560488E-2</v>
      </c>
      <c r="N12" s="5">
        <v>5.9838895281933258E-2</v>
      </c>
      <c r="O12" s="5">
        <v>5.0188205771643665E-2</v>
      </c>
      <c r="P12" s="5">
        <v>4.240766073871409E-2</v>
      </c>
      <c r="Q12" s="5">
        <v>5.4514480408858604E-2</v>
      </c>
      <c r="R12" s="5">
        <v>4.5929018789144051E-2</v>
      </c>
      <c r="S12" s="5">
        <v>0.04</v>
      </c>
      <c r="T12" s="5">
        <v>5.8011049723756904E-2</v>
      </c>
      <c r="U12" s="5">
        <v>2.9411764705882353E-2</v>
      </c>
      <c r="V12" s="48">
        <v>0.84747242875316997</v>
      </c>
    </row>
    <row r="13" spans="2:22" x14ac:dyDescent="0.2">
      <c r="B13">
        <v>6</v>
      </c>
      <c r="C13" s="5">
        <v>4.2753623188405795E-2</v>
      </c>
      <c r="D13" s="5">
        <v>6.4581074802539884E-2</v>
      </c>
      <c r="E13" s="5">
        <v>9.7664543524416142E-2</v>
      </c>
      <c r="F13" s="5">
        <v>0.10309278350515463</v>
      </c>
      <c r="G13" s="5">
        <v>9.9545345776501551E-2</v>
      </c>
      <c r="H13" s="5">
        <v>0.10005973715651136</v>
      </c>
      <c r="I13" s="5">
        <v>0.10720157842814863</v>
      </c>
      <c r="J13" s="5">
        <v>5.6717618664521317E-2</v>
      </c>
      <c r="K13" s="5">
        <v>3.8008565310492508E-2</v>
      </c>
      <c r="L13" s="5">
        <v>5.3368912608405601E-2</v>
      </c>
      <c r="M13" s="5">
        <v>5.0478677110530897E-2</v>
      </c>
      <c r="N13" s="5">
        <v>5.2934407364787113E-2</v>
      </c>
      <c r="O13" s="5">
        <v>5.8971141781681308E-2</v>
      </c>
      <c r="P13" s="5">
        <v>5.0615595075239397E-2</v>
      </c>
      <c r="Q13" s="5">
        <v>4.5996592844974447E-2</v>
      </c>
      <c r="R13" s="5">
        <v>5.2192066805845511E-2</v>
      </c>
      <c r="S13" s="5">
        <v>4.8888888888888891E-2</v>
      </c>
      <c r="T13" s="5">
        <v>4.4198895027624308E-2</v>
      </c>
      <c r="U13" s="5">
        <v>6.1764705882352944E-2</v>
      </c>
      <c r="V13" s="48">
        <v>0.87383241713600901</v>
      </c>
    </row>
    <row r="14" spans="2:22" x14ac:dyDescent="0.2">
      <c r="B14">
        <v>7</v>
      </c>
      <c r="C14" s="5">
        <v>6.7572463768115945E-2</v>
      </c>
      <c r="D14" s="5">
        <v>3.6549481183212017E-2</v>
      </c>
      <c r="E14" s="5">
        <v>6.0591213457455495E-2</v>
      </c>
      <c r="F14" s="5">
        <v>8.9991408934707903E-2</v>
      </c>
      <c r="G14" s="5">
        <v>9.2366594879157687E-2</v>
      </c>
      <c r="H14" s="5">
        <v>9.4086021505376344E-2</v>
      </c>
      <c r="I14" s="5">
        <v>9.7007563301545544E-2</v>
      </c>
      <c r="J14" s="5">
        <v>9.9758648431214805E-2</v>
      </c>
      <c r="K14" s="5">
        <v>5.0856531049250538E-2</v>
      </c>
      <c r="L14" s="5">
        <v>3.6691127418278853E-2</v>
      </c>
      <c r="M14" s="5">
        <v>4.5256744995648392E-2</v>
      </c>
      <c r="N14" s="5">
        <v>5.5235903337169157E-2</v>
      </c>
      <c r="O14" s="5">
        <v>5.520702634880803E-2</v>
      </c>
      <c r="P14" s="5">
        <v>6.0191518467852256E-2</v>
      </c>
      <c r="Q14" s="5">
        <v>5.4514480408858604E-2</v>
      </c>
      <c r="R14" s="5">
        <v>4.8016701461377868E-2</v>
      </c>
      <c r="S14" s="5">
        <v>5.5555555555555552E-2</v>
      </c>
      <c r="T14" s="5">
        <v>5.2486187845303865E-2</v>
      </c>
      <c r="U14" s="5">
        <v>4.7058823529411764E-2</v>
      </c>
      <c r="V14" s="48">
        <v>0.89550043149623904</v>
      </c>
    </row>
    <row r="15" spans="2:22" x14ac:dyDescent="0.2">
      <c r="B15">
        <v>8</v>
      </c>
      <c r="C15" s="5">
        <v>5.1086956521739134E-2</v>
      </c>
      <c r="D15" s="5">
        <v>5.7611894068452844E-2</v>
      </c>
      <c r="E15" s="5">
        <v>3.3153682835211501E-2</v>
      </c>
      <c r="F15" s="5">
        <v>5.3264604810996562E-2</v>
      </c>
      <c r="G15" s="5">
        <v>8.1359176836563768E-2</v>
      </c>
      <c r="H15" s="5">
        <v>8.8112305854241332E-2</v>
      </c>
      <c r="I15" s="5">
        <v>8.9444261756001314E-2</v>
      </c>
      <c r="J15" s="5">
        <v>9.1713596138374903E-2</v>
      </c>
      <c r="K15" s="5">
        <v>9.2612419700214138E-2</v>
      </c>
      <c r="L15" s="5">
        <v>4.7364909939959975E-2</v>
      </c>
      <c r="M15" s="5">
        <v>3.8294168842471714E-2</v>
      </c>
      <c r="N15" s="5">
        <v>5.2934407364787113E-2</v>
      </c>
      <c r="O15" s="5">
        <v>5.0188205771643665E-2</v>
      </c>
      <c r="P15" s="5">
        <v>5.1983584131326949E-2</v>
      </c>
      <c r="Q15" s="5">
        <v>6.8143100511073251E-2</v>
      </c>
      <c r="R15" s="5">
        <v>5.2192066805845511E-2</v>
      </c>
      <c r="S15" s="5">
        <v>4.8888888888888891E-2</v>
      </c>
      <c r="T15" s="5">
        <v>6.3535911602209949E-2</v>
      </c>
      <c r="U15" s="5">
        <v>5.5882352941176473E-2</v>
      </c>
      <c r="V15" s="48">
        <v>0.91053355811819103</v>
      </c>
    </row>
    <row r="16" spans="2:22" x14ac:dyDescent="0.2">
      <c r="B16">
        <v>9</v>
      </c>
      <c r="C16" s="5">
        <v>4.7644927536231882E-2</v>
      </c>
      <c r="D16" s="5">
        <v>4.3673532600278765E-2</v>
      </c>
      <c r="E16" s="5">
        <v>5.1445369916707499E-2</v>
      </c>
      <c r="F16" s="5">
        <v>3.3290378006872852E-2</v>
      </c>
      <c r="G16" s="5">
        <v>4.9054797798516389E-2</v>
      </c>
      <c r="H16" s="5">
        <v>7.3775388291517321E-2</v>
      </c>
      <c r="I16" s="5">
        <v>7.7606050641236435E-2</v>
      </c>
      <c r="J16" s="5">
        <v>8.8093322606596941E-2</v>
      </c>
      <c r="K16" s="5">
        <v>9.1541755888650961E-2</v>
      </c>
      <c r="L16" s="5">
        <v>9.13942628418946E-2</v>
      </c>
      <c r="M16" s="5">
        <v>4.4386422976501305E-2</v>
      </c>
      <c r="N16" s="5">
        <v>3.6823935558112773E-2</v>
      </c>
      <c r="O16" s="5">
        <v>5.6461731493099125E-2</v>
      </c>
      <c r="P16" s="5">
        <v>5.4719562243502051E-2</v>
      </c>
      <c r="Q16" s="5">
        <v>5.9625212947189095E-2</v>
      </c>
      <c r="R16" s="5">
        <v>7.3068893528183715E-2</v>
      </c>
      <c r="S16" s="5">
        <v>5.5555555555555552E-2</v>
      </c>
      <c r="T16" s="5">
        <v>5.5248618784530384E-2</v>
      </c>
      <c r="U16" s="5">
        <v>6.7647058823529407E-2</v>
      </c>
      <c r="V16" s="48">
        <v>0.91800729149470905</v>
      </c>
    </row>
    <row r="17" spans="2:22" x14ac:dyDescent="0.2">
      <c r="B17">
        <v>10</v>
      </c>
      <c r="C17" s="5">
        <v>3.6594202898550726E-2</v>
      </c>
      <c r="D17" s="5">
        <v>4.073098962366424E-2</v>
      </c>
      <c r="E17" s="5">
        <v>4.1482933202678422E-2</v>
      </c>
      <c r="F17" s="5">
        <v>4.7250859106529208E-2</v>
      </c>
      <c r="G17" s="5">
        <v>3.0390045465422351E-2</v>
      </c>
      <c r="H17" s="5">
        <v>4.8088410991636799E-2</v>
      </c>
      <c r="I17" s="5">
        <v>7.1686945083853995E-2</v>
      </c>
      <c r="J17" s="5">
        <v>7.2405470635559133E-2</v>
      </c>
      <c r="K17" s="5">
        <v>9.0471092077087797E-2</v>
      </c>
      <c r="L17" s="5">
        <v>9.2061374249499672E-2</v>
      </c>
      <c r="M17" s="5">
        <v>9.0513489991296783E-2</v>
      </c>
      <c r="N17" s="5">
        <v>4.1426927502876867E-2</v>
      </c>
      <c r="O17" s="5">
        <v>3.889585947302384E-2</v>
      </c>
      <c r="P17" s="5">
        <v>5.7455540355677154E-2</v>
      </c>
      <c r="Q17" s="5">
        <v>6.1328790459965928E-2</v>
      </c>
      <c r="R17" s="5">
        <v>6.2630480167014613E-2</v>
      </c>
      <c r="S17" s="5">
        <v>7.5555555555555556E-2</v>
      </c>
      <c r="T17" s="5">
        <v>6.6298342541436461E-2</v>
      </c>
      <c r="U17" s="5">
        <v>5.5882352941176473E-2</v>
      </c>
      <c r="V17" s="48">
        <v>0.91740794712255203</v>
      </c>
    </row>
    <row r="18" spans="2:22" x14ac:dyDescent="0.2">
      <c r="B18">
        <v>11</v>
      </c>
      <c r="C18" s="5">
        <v>2.8804347826086957E-2</v>
      </c>
      <c r="D18" s="5">
        <v>3.1129007278922101E-2</v>
      </c>
      <c r="E18" s="5">
        <v>3.8379879144210358E-2</v>
      </c>
      <c r="F18" s="5">
        <v>4.0378006872852236E-2</v>
      </c>
      <c r="G18" s="5">
        <v>4.4508255563531947E-2</v>
      </c>
      <c r="H18" s="5">
        <v>2.8375149342891277E-2</v>
      </c>
      <c r="I18" s="5">
        <v>4.5050970075633016E-2</v>
      </c>
      <c r="J18" s="5">
        <v>6.5567176186645218E-2</v>
      </c>
      <c r="K18" s="5">
        <v>7.5481798715203427E-2</v>
      </c>
      <c r="L18" s="5">
        <v>8.9392928619079381E-2</v>
      </c>
      <c r="M18" s="5">
        <v>9.921671018276762E-2</v>
      </c>
      <c r="N18" s="5">
        <v>8.6306098964326811E-2</v>
      </c>
      <c r="O18" s="5">
        <v>4.1405269761606023E-2</v>
      </c>
      <c r="P18" s="5">
        <v>3.9671682626538987E-2</v>
      </c>
      <c r="Q18" s="5">
        <v>5.6218057921635436E-2</v>
      </c>
      <c r="R18" s="5">
        <v>6.471816283924843E-2</v>
      </c>
      <c r="S18" s="5">
        <v>6.4444444444444443E-2</v>
      </c>
      <c r="T18" s="5">
        <v>7.4585635359116026E-2</v>
      </c>
      <c r="U18" s="5">
        <v>7.0588235294117646E-2</v>
      </c>
      <c r="V18" s="48">
        <v>0.90772139894780501</v>
      </c>
    </row>
    <row r="19" spans="2:22" x14ac:dyDescent="0.2">
      <c r="B19">
        <v>12</v>
      </c>
      <c r="C19" s="5">
        <v>2.753623188405797E-2</v>
      </c>
      <c r="D19" s="5">
        <v>2.4314697227814774E-2</v>
      </c>
      <c r="E19" s="5">
        <v>2.6947574718275354E-2</v>
      </c>
      <c r="F19" s="5">
        <v>3.4149484536082471E-2</v>
      </c>
      <c r="G19" s="5">
        <v>3.8286671452500601E-2</v>
      </c>
      <c r="H19" s="5">
        <v>3.9725209080047792E-2</v>
      </c>
      <c r="I19" s="5">
        <v>2.5978296612956264E-2</v>
      </c>
      <c r="J19" s="5">
        <v>4.3845534995977473E-2</v>
      </c>
      <c r="K19" s="5">
        <v>6.5845824411134901E-2</v>
      </c>
      <c r="L19" s="5">
        <v>7.3382254836557706E-2</v>
      </c>
      <c r="M19" s="5">
        <v>8.964316797214969E-2</v>
      </c>
      <c r="N19" s="5">
        <v>0.10701956271576525</v>
      </c>
      <c r="O19" s="5">
        <v>8.9084065244667499E-2</v>
      </c>
      <c r="P19" s="5">
        <v>4.5143638850889192E-2</v>
      </c>
      <c r="Q19" s="5">
        <v>4.0885860306643949E-2</v>
      </c>
      <c r="R19" s="5">
        <v>5.845511482254697E-2</v>
      </c>
      <c r="S19" s="5">
        <v>6.4444444444444443E-2</v>
      </c>
      <c r="T19" s="5">
        <v>7.18232044198895E-2</v>
      </c>
      <c r="U19" s="5">
        <v>7.9411764705882348E-2</v>
      </c>
      <c r="V19" s="48">
        <v>0.88688703441135797</v>
      </c>
    </row>
    <row r="20" spans="2:22" x14ac:dyDescent="0.2">
      <c r="B20">
        <v>13</v>
      </c>
      <c r="C20" s="5">
        <v>1.9927536231884056E-2</v>
      </c>
      <c r="D20" s="5">
        <v>2.3540343812916215E-2</v>
      </c>
      <c r="E20" s="5">
        <v>2.1231422505307854E-2</v>
      </c>
      <c r="F20" s="5">
        <v>2.5128865979381444E-2</v>
      </c>
      <c r="G20" s="5">
        <v>3.1107920555156737E-2</v>
      </c>
      <c r="H20" s="5">
        <v>3.7933094384707287E-2</v>
      </c>
      <c r="I20" s="5">
        <v>3.5185794146662279E-2</v>
      </c>
      <c r="J20" s="5">
        <v>2.4537409493161706E-2</v>
      </c>
      <c r="K20" s="5">
        <v>4.6573875802997856E-2</v>
      </c>
      <c r="L20" s="5">
        <v>6.1374249499666446E-2</v>
      </c>
      <c r="M20" s="5">
        <v>7.0496083550913843E-2</v>
      </c>
      <c r="N20" s="5">
        <v>8.5155350978135785E-2</v>
      </c>
      <c r="O20" s="5">
        <v>0.11041405269761606</v>
      </c>
      <c r="P20" s="5">
        <v>8.6183310533515731E-2</v>
      </c>
      <c r="Q20" s="5">
        <v>5.1107325383304938E-2</v>
      </c>
      <c r="R20" s="5">
        <v>4.3841336116910233E-2</v>
      </c>
      <c r="S20" s="5">
        <v>0.06</v>
      </c>
      <c r="T20" s="5">
        <v>7.18232044198895E-2</v>
      </c>
      <c r="U20" s="5">
        <v>7.3529411764705885E-2</v>
      </c>
      <c r="V20" s="48">
        <v>0.85222646537950597</v>
      </c>
    </row>
    <row r="21" spans="2:22" x14ac:dyDescent="0.2">
      <c r="B21">
        <v>14</v>
      </c>
      <c r="C21" s="5">
        <v>1.5579710144927537E-2</v>
      </c>
      <c r="D21" s="5">
        <v>1.7035775127768313E-2</v>
      </c>
      <c r="E21" s="5">
        <v>2.0414829332026783E-2</v>
      </c>
      <c r="F21" s="5">
        <v>1.8900343642611683E-2</v>
      </c>
      <c r="G21" s="5">
        <v>2.0339794209140942E-2</v>
      </c>
      <c r="H21" s="5">
        <v>2.8673835125448029E-2</v>
      </c>
      <c r="I21" s="5">
        <v>3.5843472541926998E-2</v>
      </c>
      <c r="J21" s="5">
        <v>3.0973451327433628E-2</v>
      </c>
      <c r="K21" s="5">
        <v>2.569593147751606E-2</v>
      </c>
      <c r="L21" s="5">
        <v>4.803202134756504E-2</v>
      </c>
      <c r="M21" s="5">
        <v>5.918189730200174E-2</v>
      </c>
      <c r="N21" s="5">
        <v>7.5949367088607597E-2</v>
      </c>
      <c r="O21" s="5">
        <v>8.4065244667503133E-2</v>
      </c>
      <c r="P21" s="5">
        <v>0.1094391244870041</v>
      </c>
      <c r="Q21" s="5">
        <v>8.6882453151618397E-2</v>
      </c>
      <c r="R21" s="5">
        <v>5.2192066805845511E-2</v>
      </c>
      <c r="S21" s="5">
        <v>4.2222222222222223E-2</v>
      </c>
      <c r="T21" s="5">
        <v>5.8011049723756904E-2</v>
      </c>
      <c r="U21" s="5">
        <v>7.6470588235294124E-2</v>
      </c>
      <c r="V21" s="48">
        <v>0.80218620321477996</v>
      </c>
    </row>
    <row r="22" spans="2:22" x14ac:dyDescent="0.2">
      <c r="B22">
        <v>15</v>
      </c>
      <c r="C22" s="5">
        <v>1.6123188405797101E-2</v>
      </c>
      <c r="D22" s="5">
        <v>1.3318878736255226E-2</v>
      </c>
      <c r="E22" s="5">
        <v>1.4372039849746856E-2</v>
      </c>
      <c r="F22" s="5">
        <v>1.5893470790378006E-2</v>
      </c>
      <c r="G22" s="5">
        <v>1.5314668581000239E-2</v>
      </c>
      <c r="H22" s="5">
        <v>1.8518518518518517E-2</v>
      </c>
      <c r="I22" s="5">
        <v>2.4662939822426833E-2</v>
      </c>
      <c r="J22" s="5">
        <v>3.2582461786001611E-2</v>
      </c>
      <c r="K22" s="5">
        <v>2.7301927194860815E-2</v>
      </c>
      <c r="L22" s="5">
        <v>2.2014676450967312E-2</v>
      </c>
      <c r="M22" s="5">
        <v>4.8738033072236731E-2</v>
      </c>
      <c r="N22" s="5">
        <v>5.4085155350978138E-2</v>
      </c>
      <c r="O22" s="5">
        <v>7.4027603513174403E-2</v>
      </c>
      <c r="P22" s="5">
        <v>7.7975376196990423E-2</v>
      </c>
      <c r="Q22" s="5">
        <v>0.10221465076660988</v>
      </c>
      <c r="R22" s="5">
        <v>9.6033402922755737E-2</v>
      </c>
      <c r="S22" s="5">
        <v>5.1111111111111114E-2</v>
      </c>
      <c r="T22" s="5">
        <v>4.1436464088397788E-2</v>
      </c>
      <c r="U22" s="5">
        <v>0.05</v>
      </c>
      <c r="V22" s="48">
        <v>0.73851406709567402</v>
      </c>
    </row>
    <row r="23" spans="2:22" x14ac:dyDescent="0.2">
      <c r="B23">
        <v>16</v>
      </c>
      <c r="C23" s="5">
        <v>7.0652173913043478E-3</v>
      </c>
      <c r="D23" s="5">
        <v>1.3318878736255226E-2</v>
      </c>
      <c r="E23" s="5">
        <v>1.02890739833415E-2</v>
      </c>
      <c r="F23" s="5">
        <v>1.0738831615120275E-2</v>
      </c>
      <c r="G23" s="5">
        <v>1.340033500837521E-2</v>
      </c>
      <c r="H23" s="5">
        <v>1.2843488649940263E-2</v>
      </c>
      <c r="I23" s="5">
        <v>1.4797763893456099E-2</v>
      </c>
      <c r="J23" s="5">
        <v>2.0112630732099759E-2</v>
      </c>
      <c r="K23" s="5">
        <v>2.9978586723768737E-2</v>
      </c>
      <c r="L23" s="5">
        <v>2.401601067378252E-2</v>
      </c>
      <c r="M23" s="5">
        <v>1.9147084421235857E-2</v>
      </c>
      <c r="N23" s="5">
        <v>4.1426927502876867E-2</v>
      </c>
      <c r="O23" s="5">
        <v>4.51693851944793E-2</v>
      </c>
      <c r="P23" s="5">
        <v>6.7031463748290013E-2</v>
      </c>
      <c r="Q23" s="5">
        <v>7.1550255536626917E-2</v>
      </c>
      <c r="R23" s="5">
        <v>0.10020876826722339</v>
      </c>
      <c r="S23" s="5">
        <v>8.666666666666667E-2</v>
      </c>
      <c r="T23" s="5">
        <v>4.4198895027624308E-2</v>
      </c>
      <c r="U23" s="5">
        <v>4.4117647058823532E-2</v>
      </c>
      <c r="V23" s="48">
        <v>0.66637325074331799</v>
      </c>
    </row>
    <row r="24" spans="2:22" x14ac:dyDescent="0.2">
      <c r="B24">
        <v>17</v>
      </c>
      <c r="C24" s="5">
        <v>2.5362318840579708E-3</v>
      </c>
      <c r="D24" s="5">
        <v>5.5753445872696299E-3</v>
      </c>
      <c r="E24" s="5">
        <v>8.6558876367793559E-3</v>
      </c>
      <c r="F24" s="5">
        <v>6.4432989690721646E-3</v>
      </c>
      <c r="G24" s="5">
        <v>9.3323761665470208E-3</v>
      </c>
      <c r="H24" s="5">
        <v>9.8566308243727592E-3</v>
      </c>
      <c r="I24" s="5">
        <v>1.0194015126603092E-2</v>
      </c>
      <c r="J24" s="5">
        <v>1.0056315366049879E-2</v>
      </c>
      <c r="K24" s="5">
        <v>1.980728051391863E-2</v>
      </c>
      <c r="L24" s="5">
        <v>2.6017344896597731E-2</v>
      </c>
      <c r="M24" s="5">
        <v>1.8276762402088774E-2</v>
      </c>
      <c r="N24" s="5">
        <v>1.611047180667434E-2</v>
      </c>
      <c r="O24" s="5">
        <v>3.5131744040150563E-2</v>
      </c>
      <c r="P24" s="5">
        <v>3.5567715458276333E-2</v>
      </c>
      <c r="Q24" s="5">
        <v>5.2810902896081771E-2</v>
      </c>
      <c r="R24" s="5">
        <v>5.2192066805845511E-2</v>
      </c>
      <c r="S24" s="5">
        <v>8.666666666666667E-2</v>
      </c>
      <c r="T24" s="5">
        <v>5.2486187845303865E-2</v>
      </c>
      <c r="U24" s="5">
        <v>2.9411764705882353E-2</v>
      </c>
      <c r="V24" s="48">
        <v>0.591405419962451</v>
      </c>
    </row>
    <row r="25" spans="2:22" x14ac:dyDescent="0.2">
      <c r="B25">
        <v>18</v>
      </c>
      <c r="C25" s="5">
        <v>2.717391304347826E-3</v>
      </c>
      <c r="D25" s="5">
        <v>2.0133188787362553E-3</v>
      </c>
      <c r="E25" s="5">
        <v>3.2663726931242854E-3</v>
      </c>
      <c r="F25" s="5">
        <v>4.2955326460481103E-3</v>
      </c>
      <c r="G25" s="5">
        <v>5.7430007178750899E-3</v>
      </c>
      <c r="H25" s="5">
        <v>5.3763440860215058E-3</v>
      </c>
      <c r="I25" s="5">
        <v>7.5633015455442293E-3</v>
      </c>
      <c r="J25" s="5">
        <v>6.8382944489139182E-3</v>
      </c>
      <c r="K25" s="5">
        <v>9.1006423982869372E-3</v>
      </c>
      <c r="L25" s="5">
        <v>1.2675116744496331E-2</v>
      </c>
      <c r="M25" s="5">
        <v>2.0887728459530026E-2</v>
      </c>
      <c r="N25" s="5">
        <v>1.4959723820483314E-2</v>
      </c>
      <c r="O25" s="5">
        <v>1.2547051442910916E-2</v>
      </c>
      <c r="P25" s="5">
        <v>3.2831737346101231E-2</v>
      </c>
      <c r="Q25" s="5">
        <v>1.7035775127768313E-2</v>
      </c>
      <c r="R25" s="5">
        <v>4.8016701461377868E-2</v>
      </c>
      <c r="S25" s="5">
        <v>3.7777777777777778E-2</v>
      </c>
      <c r="T25" s="5">
        <v>5.8011049723756904E-2</v>
      </c>
      <c r="U25" s="5">
        <v>4.1176470588235294E-2</v>
      </c>
      <c r="V25" s="48">
        <v>0.51720758064627603</v>
      </c>
    </row>
    <row r="26" spans="2:22" x14ac:dyDescent="0.2">
      <c r="B26">
        <v>19</v>
      </c>
      <c r="C26" s="5">
        <v>1.2681159420289854E-3</v>
      </c>
      <c r="D26" s="5">
        <v>1.8584481957565433E-3</v>
      </c>
      <c r="E26" s="5">
        <v>1.3065490772497142E-3</v>
      </c>
      <c r="F26" s="5">
        <v>6.4432989690721648E-4</v>
      </c>
      <c r="G26" s="5">
        <v>2.632208662359416E-3</v>
      </c>
      <c r="H26" s="5">
        <v>4.4802867383512543E-3</v>
      </c>
      <c r="I26" s="5">
        <v>2.6307135810588623E-3</v>
      </c>
      <c r="J26" s="5">
        <v>3.6202735317779565E-3</v>
      </c>
      <c r="K26" s="5">
        <v>4.2826552462526769E-3</v>
      </c>
      <c r="L26" s="5">
        <v>4.6697798532354907E-3</v>
      </c>
      <c r="M26" s="5">
        <v>8.7032201914708437E-3</v>
      </c>
      <c r="N26" s="5">
        <v>1.611047180667434E-2</v>
      </c>
      <c r="O26" s="5">
        <v>8.7829360100376407E-3</v>
      </c>
      <c r="P26" s="5">
        <v>8.2079343365253077E-3</v>
      </c>
      <c r="Q26" s="5">
        <v>1.3628620102214651E-2</v>
      </c>
      <c r="R26" s="5">
        <v>1.0438413361169102E-2</v>
      </c>
      <c r="S26" s="5">
        <v>2.6666666666666668E-2</v>
      </c>
      <c r="T26" s="5">
        <v>2.2099447513812154E-2</v>
      </c>
      <c r="U26" s="5">
        <v>3.5294117647058823E-2</v>
      </c>
      <c r="V26" s="48">
        <v>0.44487115323752202</v>
      </c>
    </row>
    <row r="27" spans="2:22" x14ac:dyDescent="0.2">
      <c r="B27">
        <v>20</v>
      </c>
      <c r="C27" s="5">
        <v>7.246376811594203E-4</v>
      </c>
      <c r="D27" s="5">
        <v>9.2922409787827166E-4</v>
      </c>
      <c r="E27" s="5">
        <v>1.1432304425934999E-3</v>
      </c>
      <c r="F27" s="5">
        <v>2.1477663230240549E-4</v>
      </c>
      <c r="G27" s="5">
        <v>0</v>
      </c>
      <c r="H27" s="5">
        <v>1.1947431302270011E-3</v>
      </c>
      <c r="I27" s="5">
        <v>3.2883919763235779E-3</v>
      </c>
      <c r="J27" s="5">
        <v>8.045052292839903E-4</v>
      </c>
      <c r="K27" s="5">
        <v>2.1413276231263384E-3</v>
      </c>
      <c r="L27" s="5">
        <v>1.33422281521014E-3</v>
      </c>
      <c r="M27" s="5">
        <v>2.6109660574412533E-3</v>
      </c>
      <c r="N27" s="5">
        <v>3.4522439585730723E-3</v>
      </c>
      <c r="O27" s="5">
        <v>1.1292346298619825E-2</v>
      </c>
      <c r="P27" s="5">
        <v>4.1039671682626538E-3</v>
      </c>
      <c r="Q27" s="5">
        <v>5.1107325383304937E-3</v>
      </c>
      <c r="R27" s="5">
        <v>2.0876826722338203E-3</v>
      </c>
      <c r="S27" s="5">
        <v>4.4444444444444444E-3</v>
      </c>
      <c r="T27" s="5">
        <v>1.1049723756906077E-2</v>
      </c>
      <c r="U27" s="5">
        <v>1.7647058823529412E-2</v>
      </c>
      <c r="V27" s="48">
        <v>0.37519802400866797</v>
      </c>
    </row>
    <row r="30" spans="2:22" x14ac:dyDescent="0.2">
      <c r="C30" s="75" t="s">
        <v>168</v>
      </c>
      <c r="D30" s="75"/>
      <c r="E30" s="75"/>
      <c r="F30" s="75"/>
      <c r="G30" s="75"/>
      <c r="H30" s="75"/>
      <c r="I30" s="75"/>
      <c r="J30" s="75"/>
      <c r="K30" s="75"/>
      <c r="L30" s="75"/>
      <c r="M30" s="75"/>
      <c r="N30" s="75"/>
      <c r="O30" s="75"/>
      <c r="P30" s="75"/>
      <c r="Q30" s="75"/>
      <c r="R30" s="75"/>
      <c r="S30" s="75"/>
    </row>
    <row r="31" spans="2:22" x14ac:dyDescent="0.2">
      <c r="B31" s="35" t="s">
        <v>83</v>
      </c>
      <c r="C31">
        <v>1995</v>
      </c>
      <c r="D31">
        <v>1996</v>
      </c>
      <c r="E31">
        <v>1997</v>
      </c>
      <c r="F31">
        <v>1998</v>
      </c>
      <c r="G31">
        <v>1999</v>
      </c>
      <c r="H31">
        <v>2000</v>
      </c>
      <c r="I31">
        <v>2001</v>
      </c>
      <c r="J31">
        <v>2002</v>
      </c>
      <c r="K31">
        <v>2003</v>
      </c>
      <c r="L31">
        <v>2004</v>
      </c>
      <c r="M31">
        <v>2005</v>
      </c>
      <c r="N31">
        <v>2006</v>
      </c>
      <c r="O31">
        <v>2007</v>
      </c>
      <c r="P31">
        <v>2008</v>
      </c>
      <c r="Q31">
        <v>2009</v>
      </c>
      <c r="R31">
        <v>2010</v>
      </c>
      <c r="S31">
        <v>2011</v>
      </c>
      <c r="T31">
        <v>2012</v>
      </c>
      <c r="U31">
        <v>2013</v>
      </c>
    </row>
    <row r="32" spans="2:22" x14ac:dyDescent="0.2">
      <c r="B32">
        <v>1</v>
      </c>
      <c r="C32" s="5">
        <f>C$4*C8*$V8</f>
        <v>5.968894393682065E-3</v>
      </c>
      <c r="D32" s="5">
        <f>D$4*D8*$V8</f>
        <v>6.2405244336959887E-3</v>
      </c>
      <c r="E32" s="5">
        <f t="shared" ref="E32:U46" si="1">E$4*E8*$V8</f>
        <v>3.6814884093428471E-3</v>
      </c>
      <c r="F32" s="5">
        <f t="shared" si="1"/>
        <v>2.5673397896464243E-3</v>
      </c>
      <c r="G32" s="5">
        <f t="shared" si="1"/>
        <v>3.7086511724246231E-3</v>
      </c>
      <c r="H32" s="5">
        <f t="shared" si="1"/>
        <v>3.5921218752800184E-3</v>
      </c>
      <c r="I32" s="5">
        <f t="shared" si="1"/>
        <v>3.7746165665899375E-3</v>
      </c>
      <c r="J32" s="5">
        <f t="shared" si="1"/>
        <v>4.0349058079495173E-3</v>
      </c>
      <c r="K32" s="5">
        <f t="shared" si="1"/>
        <v>2.5246108781450749E-3</v>
      </c>
      <c r="L32" s="5">
        <f t="shared" si="1"/>
        <v>2.5223966523307208E-3</v>
      </c>
      <c r="M32" s="5">
        <f t="shared" si="1"/>
        <v>2.802360887483681E-3</v>
      </c>
      <c r="N32" s="5">
        <f t="shared" si="1"/>
        <v>1.488810116728999E-3</v>
      </c>
      <c r="O32" s="5">
        <f t="shared" si="1"/>
        <v>1.5857926500941028E-3</v>
      </c>
      <c r="P32" s="5">
        <f t="shared" si="1"/>
        <v>1.6628795632694939E-3</v>
      </c>
      <c r="Q32" s="5">
        <f t="shared" si="1"/>
        <v>9.3468427768313481E-4</v>
      </c>
      <c r="R32" s="5">
        <f t="shared" si="1"/>
        <v>1.2946008542536538E-3</v>
      </c>
      <c r="S32" s="5">
        <f t="shared" si="1"/>
        <v>2.2048490993333341E-3</v>
      </c>
      <c r="T32" s="5">
        <f t="shared" si="1"/>
        <v>1.256215819716851E-3</v>
      </c>
      <c r="U32" s="5">
        <f t="shared" si="1"/>
        <v>1.7022732016911768E-3</v>
      </c>
    </row>
    <row r="33" spans="2:21" x14ac:dyDescent="0.2">
      <c r="B33">
        <v>2</v>
      </c>
      <c r="C33" s="5">
        <f t="shared" ref="C33:R48" si="2">C$4*C9*$V9</f>
        <v>5.1479771881211535E-2</v>
      </c>
      <c r="D33" s="5">
        <f t="shared" si="2"/>
        <v>4.8684123297032277E-2</v>
      </c>
      <c r="E33" s="5">
        <f t="shared" si="1"/>
        <v>5.0681095208512911E-2</v>
      </c>
      <c r="F33" s="5">
        <f t="shared" si="1"/>
        <v>2.8990745816726757E-2</v>
      </c>
      <c r="G33" s="5">
        <f t="shared" si="1"/>
        <v>2.422708800273092E-2</v>
      </c>
      <c r="H33" s="5">
        <f t="shared" si="1"/>
        <v>2.7883465966344886E-2</v>
      </c>
      <c r="I33" s="5">
        <f t="shared" si="1"/>
        <v>2.7909912784809931E-2</v>
      </c>
      <c r="J33" s="5">
        <f t="shared" si="1"/>
        <v>2.6256605143853185E-2</v>
      </c>
      <c r="K33" s="5">
        <f t="shared" si="1"/>
        <v>3.2414930661965401E-2</v>
      </c>
      <c r="L33" s="5">
        <f t="shared" si="1"/>
        <v>2.1436621666449693E-2</v>
      </c>
      <c r="M33" s="5">
        <f t="shared" si="1"/>
        <v>2.1843938049477245E-2</v>
      </c>
      <c r="N33" s="5">
        <f t="shared" si="1"/>
        <v>1.3988669171721856E-2</v>
      </c>
      <c r="O33" s="5">
        <f t="shared" si="1"/>
        <v>1.8710512428089725E-2</v>
      </c>
      <c r="P33" s="5">
        <f t="shared" si="1"/>
        <v>1.5507951883435515E-2</v>
      </c>
      <c r="Q33" s="5">
        <f t="shared" si="1"/>
        <v>1.4427856891162884E-2</v>
      </c>
      <c r="R33" s="5">
        <f t="shared" si="1"/>
        <v>9.3256595919595456E-3</v>
      </c>
      <c r="S33" s="5">
        <f t="shared" si="1"/>
        <v>9.9266465434413829E-3</v>
      </c>
      <c r="T33" s="5">
        <f t="shared" si="1"/>
        <v>2.2622882315853979E-2</v>
      </c>
      <c r="U33" s="5">
        <f t="shared" si="1"/>
        <v>1.2043357938734031E-2</v>
      </c>
    </row>
    <row r="34" spans="2:21" x14ac:dyDescent="0.2">
      <c r="B34">
        <v>3</v>
      </c>
      <c r="C34" s="5">
        <f t="shared" si="2"/>
        <v>5.16059907050304E-2</v>
      </c>
      <c r="D34" s="5">
        <f t="shared" si="2"/>
        <v>4.8451994659669186E-2</v>
      </c>
      <c r="E34" s="5">
        <f t="shared" si="1"/>
        <v>4.8555002908096986E-2</v>
      </c>
      <c r="F34" s="5">
        <f t="shared" si="1"/>
        <v>5.1951968599407844E-2</v>
      </c>
      <c r="G34" s="5">
        <f t="shared" si="1"/>
        <v>3.3337332264394011E-2</v>
      </c>
      <c r="H34" s="5">
        <f t="shared" si="1"/>
        <v>2.2250677911839906E-2</v>
      </c>
      <c r="I34" s="5">
        <f t="shared" si="1"/>
        <v>2.809750295893108E-2</v>
      </c>
      <c r="J34" s="5">
        <f t="shared" si="1"/>
        <v>2.8868005872637069E-2</v>
      </c>
      <c r="K34" s="5">
        <f t="shared" si="1"/>
        <v>2.8213005736749206E-2</v>
      </c>
      <c r="L34" s="5">
        <f t="shared" si="1"/>
        <v>3.1554353695704751E-2</v>
      </c>
      <c r="M34" s="5">
        <f t="shared" si="1"/>
        <v>2.5827486839486383E-2</v>
      </c>
      <c r="N34" s="5">
        <f t="shared" si="1"/>
        <v>1.1203975663195646E-2</v>
      </c>
      <c r="O34" s="5">
        <f t="shared" si="1"/>
        <v>2.1487537434454598E-2</v>
      </c>
      <c r="P34" s="5">
        <f t="shared" si="1"/>
        <v>1.94473200721548E-2</v>
      </c>
      <c r="Q34" s="5">
        <f t="shared" si="1"/>
        <v>1.6240492787039328E-2</v>
      </c>
      <c r="R34" s="5">
        <f t="shared" si="1"/>
        <v>1.6957150633517458E-2</v>
      </c>
      <c r="S34" s="5">
        <f t="shared" si="1"/>
        <v>9.4547329828575128E-3</v>
      </c>
      <c r="T34" s="5">
        <f t="shared" si="1"/>
        <v>1.2821586666858504E-2</v>
      </c>
      <c r="U34" s="5">
        <f t="shared" si="1"/>
        <v>2.2752031242170481E-2</v>
      </c>
    </row>
    <row r="35" spans="2:21" x14ac:dyDescent="0.2">
      <c r="B35">
        <v>4</v>
      </c>
      <c r="C35" s="5">
        <f t="shared" si="2"/>
        <v>4.7282917217694058E-2</v>
      </c>
      <c r="D35" s="5">
        <f t="shared" si="2"/>
        <v>4.8451776991161613E-2</v>
      </c>
      <c r="E35" s="5">
        <f t="shared" si="1"/>
        <v>4.6870224704657251E-2</v>
      </c>
      <c r="F35" s="5">
        <f t="shared" si="1"/>
        <v>4.4359952190064569E-2</v>
      </c>
      <c r="G35" s="5">
        <f t="shared" si="1"/>
        <v>5.4097951832604484E-2</v>
      </c>
      <c r="H35" s="5">
        <f t="shared" si="1"/>
        <v>2.9188925342136959E-2</v>
      </c>
      <c r="I35" s="5">
        <f t="shared" si="1"/>
        <v>2.0840380502587106E-2</v>
      </c>
      <c r="J35" s="5">
        <f t="shared" si="1"/>
        <v>2.6962431744320895E-2</v>
      </c>
      <c r="K35" s="5">
        <f t="shared" si="1"/>
        <v>2.6522552776353715E-2</v>
      </c>
      <c r="L35" s="5">
        <f t="shared" si="1"/>
        <v>2.7484139331022166E-2</v>
      </c>
      <c r="M35" s="5">
        <f t="shared" si="1"/>
        <v>3.3259972011055364E-2</v>
      </c>
      <c r="N35" s="5">
        <f t="shared" si="1"/>
        <v>1.3496112879232742E-2</v>
      </c>
      <c r="O35" s="5">
        <f t="shared" si="1"/>
        <v>1.749931744210869E-2</v>
      </c>
      <c r="P35" s="5">
        <f t="shared" si="1"/>
        <v>2.1309009128111549E-2</v>
      </c>
      <c r="Q35" s="5">
        <f t="shared" si="1"/>
        <v>1.8775593176156454E-2</v>
      </c>
      <c r="R35" s="5">
        <f t="shared" si="1"/>
        <v>1.506523470790682E-2</v>
      </c>
      <c r="S35" s="5">
        <f t="shared" si="1"/>
        <v>1.8708789620596879E-2</v>
      </c>
      <c r="T35" s="5">
        <f t="shared" si="1"/>
        <v>1.2182124259662528E-2</v>
      </c>
      <c r="U35" s="5">
        <f t="shared" si="1"/>
        <v>1.2970379358817164E-2</v>
      </c>
    </row>
    <row r="36" spans="2:21" x14ac:dyDescent="0.2">
      <c r="B36">
        <v>5</v>
      </c>
      <c r="C36" s="5">
        <f t="shared" si="2"/>
        <v>3.0234193006224954E-2</v>
      </c>
      <c r="D36" s="5">
        <f t="shared" si="2"/>
        <v>4.4315313726798096E-2</v>
      </c>
      <c r="E36" s="5">
        <f t="shared" si="1"/>
        <v>4.595091563879429E-2</v>
      </c>
      <c r="F36" s="5">
        <f t="shared" si="1"/>
        <v>4.2038891670373904E-2</v>
      </c>
      <c r="G36" s="5">
        <f t="shared" si="1"/>
        <v>4.7322990209170794E-2</v>
      </c>
      <c r="H36" s="5">
        <f t="shared" si="1"/>
        <v>4.8968617452812342E-2</v>
      </c>
      <c r="I36" s="5">
        <f t="shared" si="1"/>
        <v>2.7230590581496131E-2</v>
      </c>
      <c r="J36" s="5">
        <f t="shared" si="1"/>
        <v>2.0412972258141517E-2</v>
      </c>
      <c r="K36" s="5">
        <f t="shared" si="1"/>
        <v>2.5566174399104597E-2</v>
      </c>
      <c r="L36" s="5">
        <f t="shared" si="1"/>
        <v>2.3318777716046197E-2</v>
      </c>
      <c r="M36" s="5">
        <f t="shared" si="1"/>
        <v>2.7279171259735415E-2</v>
      </c>
      <c r="N36" s="5">
        <f t="shared" si="1"/>
        <v>1.6887034034856033E-2</v>
      </c>
      <c r="O36" s="5">
        <f t="shared" si="1"/>
        <v>2.19470902502703E-2</v>
      </c>
      <c r="P36" s="5">
        <f t="shared" si="1"/>
        <v>1.8472812147404941E-2</v>
      </c>
      <c r="Q36" s="5">
        <f t="shared" si="1"/>
        <v>2.1436576869041005E-2</v>
      </c>
      <c r="R36" s="5">
        <f t="shared" si="1"/>
        <v>1.9051793539586231E-2</v>
      </c>
      <c r="S36" s="5">
        <f t="shared" si="1"/>
        <v>1.6592380191748735E-2</v>
      </c>
      <c r="T36" s="5">
        <f t="shared" si="1"/>
        <v>2.4063534808475371E-2</v>
      </c>
      <c r="U36" s="5">
        <f t="shared" si="1"/>
        <v>1.2200279552756422E-2</v>
      </c>
    </row>
    <row r="37" spans="2:21" x14ac:dyDescent="0.2">
      <c r="B37">
        <v>6</v>
      </c>
      <c r="C37" s="5">
        <f t="shared" si="2"/>
        <v>1.7558965889261976E-2</v>
      </c>
      <c r="D37" s="5">
        <f t="shared" si="2"/>
        <v>2.8103652274580525E-2</v>
      </c>
      <c r="E37" s="5">
        <f t="shared" si="1"/>
        <v>4.2415194735803477E-2</v>
      </c>
      <c r="F37" s="5">
        <f t="shared" si="1"/>
        <v>4.1529561268010322E-2</v>
      </c>
      <c r="G37" s="5">
        <f t="shared" si="1"/>
        <v>4.4710778358863362E-2</v>
      </c>
      <c r="H37" s="5">
        <f t="shared" si="1"/>
        <v>4.2930802010936811E-2</v>
      </c>
      <c r="I37" s="5">
        <f t="shared" si="1"/>
        <v>4.6463402341737625E-2</v>
      </c>
      <c r="J37" s="5">
        <f t="shared" si="1"/>
        <v>2.4731285212096724E-2</v>
      </c>
      <c r="K37" s="5">
        <f t="shared" si="1"/>
        <v>1.7171181229021139E-2</v>
      </c>
      <c r="L37" s="5">
        <f t="shared" si="1"/>
        <v>2.3457649409975318E-2</v>
      </c>
      <c r="M37" s="5">
        <f t="shared" si="1"/>
        <v>2.509853562256098E-2</v>
      </c>
      <c r="N37" s="5">
        <f t="shared" si="1"/>
        <v>1.5403181778698951E-2</v>
      </c>
      <c r="O37" s="5">
        <f t="shared" si="1"/>
        <v>2.6589942008008145E-2</v>
      </c>
      <c r="P37" s="5">
        <f t="shared" si="1"/>
        <v>2.2733987563738192E-2</v>
      </c>
      <c r="Q37" s="5">
        <f t="shared" si="1"/>
        <v>1.8649697652265623E-2</v>
      </c>
      <c r="R37" s="5">
        <f t="shared" si="1"/>
        <v>2.2323164949939387E-2</v>
      </c>
      <c r="S37" s="5">
        <f t="shared" si="1"/>
        <v>2.0910356643774334E-2</v>
      </c>
      <c r="T37" s="5">
        <f t="shared" si="1"/>
        <v>1.8904390737716624E-2</v>
      </c>
      <c r="U37" s="5">
        <f t="shared" si="1"/>
        <v>2.641749602722827E-2</v>
      </c>
    </row>
    <row r="38" spans="2:21" x14ac:dyDescent="0.2">
      <c r="B38">
        <v>7</v>
      </c>
      <c r="C38" s="5">
        <f t="shared" si="2"/>
        <v>2.8440250116957548E-2</v>
      </c>
      <c r="D38" s="5">
        <f t="shared" si="2"/>
        <v>1.6299577932923956E-2</v>
      </c>
      <c r="E38" s="5">
        <f t="shared" si="1"/>
        <v>2.6966950524627966E-2</v>
      </c>
      <c r="F38" s="5">
        <f t="shared" si="1"/>
        <v>3.7150766290245288E-2</v>
      </c>
      <c r="G38" s="5">
        <f t="shared" si="1"/>
        <v>4.2515163343043741E-2</v>
      </c>
      <c r="H38" s="5">
        <f t="shared" si="1"/>
        <v>4.1368749772212013E-2</v>
      </c>
      <c r="I38" s="5">
        <f t="shared" si="1"/>
        <v>4.3087676138286644E-2</v>
      </c>
      <c r="J38" s="5">
        <f t="shared" si="1"/>
        <v>4.4577622445101599E-2</v>
      </c>
      <c r="K38" s="5">
        <f t="shared" si="1"/>
        <v>2.3545237522985967E-2</v>
      </c>
      <c r="L38" s="5">
        <f t="shared" si="1"/>
        <v>1.6527030978881557E-2</v>
      </c>
      <c r="M38" s="5">
        <f t="shared" si="1"/>
        <v>2.3060110328207761E-2</v>
      </c>
      <c r="N38" s="5">
        <f t="shared" si="1"/>
        <v>1.6471437165749003E-2</v>
      </c>
      <c r="O38" s="5">
        <f t="shared" si="1"/>
        <v>2.5509964613162624E-2</v>
      </c>
      <c r="P38" s="5">
        <f t="shared" si="1"/>
        <v>2.7705386810833028E-2</v>
      </c>
      <c r="Q38" s="5">
        <f t="shared" si="1"/>
        <v>2.2651431698221737E-2</v>
      </c>
      <c r="R38" s="5">
        <f t="shared" si="1"/>
        <v>2.104656588239999E-2</v>
      </c>
      <c r="S38" s="5">
        <f t="shared" si="1"/>
        <v>2.4350978400168106E-2</v>
      </c>
      <c r="T38" s="5">
        <f t="shared" si="1"/>
        <v>2.3005620477506886E-2</v>
      </c>
      <c r="U38" s="5">
        <f t="shared" si="1"/>
        <v>2.0626711115436513E-2</v>
      </c>
    </row>
    <row r="39" spans="2:21" x14ac:dyDescent="0.2">
      <c r="B39">
        <v>8</v>
      </c>
      <c r="C39" s="5">
        <f t="shared" si="2"/>
        <v>2.1862702498729174E-2</v>
      </c>
      <c r="D39" s="5">
        <f t="shared" si="2"/>
        <v>2.6123866322246184E-2</v>
      </c>
      <c r="E39" s="5">
        <f t="shared" si="1"/>
        <v>1.5003207775943559E-2</v>
      </c>
      <c r="F39" s="5">
        <f t="shared" si="1"/>
        <v>2.2358135874685686E-2</v>
      </c>
      <c r="G39" s="5">
        <f t="shared" si="1"/>
        <v>3.8077254036069652E-2</v>
      </c>
      <c r="H39" s="5">
        <f t="shared" si="1"/>
        <v>3.9392542779459187E-2</v>
      </c>
      <c r="I39" s="5">
        <f t="shared" si="1"/>
        <v>4.0395232947333569E-2</v>
      </c>
      <c r="J39" s="5">
        <f t="shared" si="1"/>
        <v>4.167064520282495E-2</v>
      </c>
      <c r="K39" s="5">
        <f t="shared" si="1"/>
        <v>4.359691219039033E-2</v>
      </c>
      <c r="L39" s="5">
        <f t="shared" si="1"/>
        <v>2.1693052008722454E-2</v>
      </c>
      <c r="M39" s="5">
        <f t="shared" si="1"/>
        <v>1.9839963586637969E-2</v>
      </c>
      <c r="N39" s="5">
        <f t="shared" si="1"/>
        <v>1.6050118576817551E-2</v>
      </c>
      <c r="O39" s="5">
        <f t="shared" si="1"/>
        <v>2.3580191517640483E-2</v>
      </c>
      <c r="P39" s="5">
        <f t="shared" si="1"/>
        <v>2.4329058080936397E-2</v>
      </c>
      <c r="Q39" s="5">
        <f t="shared" si="1"/>
        <v>2.8789613013072615E-2</v>
      </c>
      <c r="R39" s="5">
        <f t="shared" si="1"/>
        <v>2.3260742462434796E-2</v>
      </c>
      <c r="S39" s="5">
        <f t="shared" si="1"/>
        <v>2.1788595917256702E-2</v>
      </c>
      <c r="T39" s="5">
        <f t="shared" si="1"/>
        <v>2.8316419857308747E-2</v>
      </c>
      <c r="U39" s="5">
        <f t="shared" si="1"/>
        <v>2.4905413782425775E-2</v>
      </c>
    </row>
    <row r="40" spans="2:21" x14ac:dyDescent="0.2">
      <c r="B40">
        <v>9</v>
      </c>
      <c r="C40" s="5">
        <f t="shared" si="2"/>
        <v>2.055704371406902E-2</v>
      </c>
      <c r="D40" s="5">
        <f t="shared" si="2"/>
        <v>1.9966125443449119E-2</v>
      </c>
      <c r="E40" s="5">
        <f t="shared" si="1"/>
        <v>2.3471930674498476E-2</v>
      </c>
      <c r="F40" s="5">
        <f t="shared" si="1"/>
        <v>1.4088533293332138E-2</v>
      </c>
      <c r="G40" s="5">
        <f t="shared" si="1"/>
        <v>2.3146788299784039E-2</v>
      </c>
      <c r="H40" s="5">
        <f t="shared" si="1"/>
        <v>3.3253635092772946E-2</v>
      </c>
      <c r="I40" s="5">
        <f t="shared" si="1"/>
        <v>3.5336488494970293E-2</v>
      </c>
      <c r="J40" s="5">
        <f t="shared" si="1"/>
        <v>4.0354285929940989E-2</v>
      </c>
      <c r="K40" s="5">
        <f t="shared" si="1"/>
        <v>4.3446611680499334E-2</v>
      </c>
      <c r="L40" s="5">
        <f t="shared" si="1"/>
        <v>4.2202001643890527E-2</v>
      </c>
      <c r="M40" s="5">
        <f t="shared" si="1"/>
        <v>2.3185077103468198E-2</v>
      </c>
      <c r="N40" s="5">
        <f t="shared" si="1"/>
        <v>1.1256945567511646E-2</v>
      </c>
      <c r="O40" s="5">
        <f t="shared" si="1"/>
        <v>2.6745457099758025E-2</v>
      </c>
      <c r="P40" s="5">
        <f t="shared" si="1"/>
        <v>2.5819739963243802E-2</v>
      </c>
      <c r="Q40" s="5">
        <f t="shared" si="1"/>
        <v>2.5397680432494164E-2</v>
      </c>
      <c r="R40" s="5">
        <f t="shared" si="1"/>
        <v>3.2832335935336875E-2</v>
      </c>
      <c r="S40" s="5">
        <f t="shared" si="1"/>
        <v>2.4962998274645019E-2</v>
      </c>
      <c r="T40" s="5">
        <f t="shared" si="1"/>
        <v>2.4825081157105543E-2</v>
      </c>
      <c r="U40" s="5">
        <f t="shared" si="1"/>
        <v>3.0396121428538345E-2</v>
      </c>
    </row>
    <row r="41" spans="2:21" x14ac:dyDescent="0.2">
      <c r="B41">
        <v>10</v>
      </c>
      <c r="C41" s="5">
        <f t="shared" si="2"/>
        <v>1.5778751902140415E-2</v>
      </c>
      <c r="D41" s="5">
        <f t="shared" si="2"/>
        <v>1.8608732920308058E-2</v>
      </c>
      <c r="E41" s="5">
        <f t="shared" si="1"/>
        <v>1.8914215977275307E-2</v>
      </c>
      <c r="F41" s="5">
        <f t="shared" si="1"/>
        <v>1.9983572593893734E-2</v>
      </c>
      <c r="G41" s="5">
        <f t="shared" si="1"/>
        <v>1.4330355580824589E-2</v>
      </c>
      <c r="H41" s="5">
        <f t="shared" si="1"/>
        <v>2.1661294990437535E-2</v>
      </c>
      <c r="I41" s="5">
        <f t="shared" si="1"/>
        <v>3.2620021869933347E-2</v>
      </c>
      <c r="J41" s="5">
        <f t="shared" si="1"/>
        <v>3.3146251733929058E-2</v>
      </c>
      <c r="K41" s="5">
        <f t="shared" si="1"/>
        <v>4.2910430708746651E-2</v>
      </c>
      <c r="L41" s="5">
        <f t="shared" si="1"/>
        <v>4.2482291688835778E-2</v>
      </c>
      <c r="M41" s="5">
        <f t="shared" si="1"/>
        <v>4.7248505377653731E-2</v>
      </c>
      <c r="N41" s="5">
        <f t="shared" si="1"/>
        <v>1.2655795707831017E-2</v>
      </c>
      <c r="O41" s="5">
        <f t="shared" si="1"/>
        <v>1.8412619224808462E-2</v>
      </c>
      <c r="P41" s="5">
        <f t="shared" si="1"/>
        <v>2.7093027034858625E-2</v>
      </c>
      <c r="Q41" s="5">
        <f t="shared" si="1"/>
        <v>2.6106273166499334E-2</v>
      </c>
      <c r="R41" s="5">
        <f t="shared" si="1"/>
        <v>2.8123629009493858E-2</v>
      </c>
      <c r="S41" s="5">
        <f t="shared" si="1"/>
        <v>3.3927512744341991E-2</v>
      </c>
      <c r="T41" s="5">
        <f t="shared" si="1"/>
        <v>2.9770648166955925E-2</v>
      </c>
      <c r="U41" s="5">
        <f t="shared" si="1"/>
        <v>2.509344584464741E-2</v>
      </c>
    </row>
    <row r="42" spans="2:21" x14ac:dyDescent="0.2">
      <c r="B42">
        <v>11</v>
      </c>
      <c r="C42" s="5">
        <f t="shared" si="2"/>
        <v>1.2288771765103165E-2</v>
      </c>
      <c r="D42" s="5">
        <f t="shared" si="2"/>
        <v>1.4071720085469629E-2</v>
      </c>
      <c r="E42" s="5">
        <f t="shared" si="1"/>
        <v>1.7314604081350465E-2</v>
      </c>
      <c r="F42" s="5">
        <f t="shared" si="1"/>
        <v>1.689656318814613E-2</v>
      </c>
      <c r="G42" s="5">
        <f t="shared" si="1"/>
        <v>2.0766163346495801E-2</v>
      </c>
      <c r="H42" s="5">
        <f t="shared" si="1"/>
        <v>1.264655455612914E-2</v>
      </c>
      <c r="I42" s="5">
        <f t="shared" si="1"/>
        <v>2.0283289872180615E-2</v>
      </c>
      <c r="J42" s="5">
        <f t="shared" si="1"/>
        <v>2.9698847717706204E-2</v>
      </c>
      <c r="K42" s="5">
        <f t="shared" si="1"/>
        <v>3.5423001509153187E-2</v>
      </c>
      <c r="L42" s="5">
        <f t="shared" si="1"/>
        <v>4.0815368733742467E-2</v>
      </c>
      <c r="M42" s="5">
        <f t="shared" si="1"/>
        <v>5.1244783519711325E-2</v>
      </c>
      <c r="N42" s="5">
        <f t="shared" si="1"/>
        <v>2.6087850332245605E-2</v>
      </c>
      <c r="O42" s="5">
        <f t="shared" si="1"/>
        <v>1.9393575886177194E-2</v>
      </c>
      <c r="P42" s="5">
        <f t="shared" si="1"/>
        <v>1.8509569319720903E-2</v>
      </c>
      <c r="Q42" s="5">
        <f t="shared" si="1"/>
        <v>2.3678075060798623E-2</v>
      </c>
      <c r="R42" s="5">
        <f t="shared" si="1"/>
        <v>2.8754238809090931E-2</v>
      </c>
      <c r="S42" s="5">
        <f t="shared" si="1"/>
        <v>2.8632625899432416E-2</v>
      </c>
      <c r="T42" s="5">
        <f t="shared" si="1"/>
        <v>3.3138350607554184E-2</v>
      </c>
      <c r="U42" s="5">
        <f t="shared" si="1"/>
        <v>3.1362308287410753E-2</v>
      </c>
    </row>
    <row r="43" spans="2:21" x14ac:dyDescent="0.2">
      <c r="B43">
        <v>12</v>
      </c>
      <c r="C43" s="5">
        <f t="shared" si="2"/>
        <v>1.1478117706222356E-2</v>
      </c>
      <c r="D43" s="5">
        <f t="shared" si="2"/>
        <v>1.0739066079059383E-2</v>
      </c>
      <c r="E43" s="5">
        <f t="shared" si="1"/>
        <v>1.1878028949355449E-2</v>
      </c>
      <c r="F43" s="5">
        <f t="shared" si="1"/>
        <v>1.396218486583293E-2</v>
      </c>
      <c r="G43" s="5">
        <f t="shared" si="1"/>
        <v>1.7453359586022992E-2</v>
      </c>
      <c r="H43" s="5">
        <f t="shared" si="1"/>
        <v>1.7298800480335996E-2</v>
      </c>
      <c r="I43" s="5">
        <f t="shared" si="1"/>
        <v>1.1427747963293209E-2</v>
      </c>
      <c r="J43" s="5">
        <f t="shared" si="1"/>
        <v>1.9404132215876172E-2</v>
      </c>
      <c r="K43" s="5">
        <f t="shared" si="1"/>
        <v>3.0191666705167375E-2</v>
      </c>
      <c r="L43" s="5">
        <f t="shared" si="1"/>
        <v>3.2736130496317836E-2</v>
      </c>
      <c r="M43" s="5">
        <f t="shared" si="1"/>
        <v>4.5237413773495605E-2</v>
      </c>
      <c r="N43" s="5">
        <f t="shared" si="1"/>
        <v>3.1606449446128136E-2</v>
      </c>
      <c r="O43" s="5">
        <f t="shared" si="1"/>
        <v>4.076787125808596E-2</v>
      </c>
      <c r="P43" s="5">
        <f t="shared" si="1"/>
        <v>2.0579176303263277E-2</v>
      </c>
      <c r="Q43" s="5">
        <f t="shared" si="1"/>
        <v>1.6825168680076462E-2</v>
      </c>
      <c r="R43" s="5">
        <f t="shared" si="1"/>
        <v>2.5375461236764003E-2</v>
      </c>
      <c r="S43" s="5">
        <f t="shared" si="1"/>
        <v>2.7975439050784826E-2</v>
      </c>
      <c r="T43" s="5">
        <f t="shared" si="1"/>
        <v>3.1178570860562246E-2</v>
      </c>
      <c r="U43" s="5">
        <f t="shared" si="1"/>
        <v>3.4472777329313954E-2</v>
      </c>
    </row>
    <row r="44" spans="2:21" x14ac:dyDescent="0.2">
      <c r="B44">
        <v>13</v>
      </c>
      <c r="C44" s="5">
        <f t="shared" si="2"/>
        <v>7.9819036703116762E-3</v>
      </c>
      <c r="D44" s="5">
        <f t="shared" si="2"/>
        <v>9.9907285927469548E-3</v>
      </c>
      <c r="E44" s="5">
        <f t="shared" si="1"/>
        <v>8.9927081378686716E-3</v>
      </c>
      <c r="F44" s="5">
        <f t="shared" si="1"/>
        <v>9.8725384156302439E-3</v>
      </c>
      <c r="G44" s="5">
        <f t="shared" si="1"/>
        <v>1.3626650494534242E-2</v>
      </c>
      <c r="H44" s="5">
        <f t="shared" si="1"/>
        <v>1.5872845191657662E-2</v>
      </c>
      <c r="I44" s="5">
        <f t="shared" si="1"/>
        <v>1.4873187428681727E-2</v>
      </c>
      <c r="J44" s="5">
        <f t="shared" si="1"/>
        <v>1.0434803451201442E-2</v>
      </c>
      <c r="K44" s="5">
        <f t="shared" si="1"/>
        <v>2.0520500099734901E-2</v>
      </c>
      <c r="L44" s="5">
        <f t="shared" si="1"/>
        <v>2.6309294137359586E-2</v>
      </c>
      <c r="M44" s="5">
        <f t="shared" si="1"/>
        <v>3.4184739393277673E-2</v>
      </c>
      <c r="N44" s="5">
        <f t="shared" si="1"/>
        <v>2.4166357376158559E-2</v>
      </c>
      <c r="O44" s="5">
        <f t="shared" si="1"/>
        <v>4.8554453375097381E-2</v>
      </c>
      <c r="P44" s="5">
        <f t="shared" si="1"/>
        <v>3.7752116828890785E-2</v>
      </c>
      <c r="Q44" s="5">
        <f t="shared" si="1"/>
        <v>2.0209527083616223E-2</v>
      </c>
      <c r="R44" s="5">
        <f t="shared" si="1"/>
        <v>1.8287819190694925E-2</v>
      </c>
      <c r="S44" s="5">
        <f t="shared" si="1"/>
        <v>2.5028186835265337E-2</v>
      </c>
      <c r="T44" s="5">
        <f t="shared" si="1"/>
        <v>2.9960076322140827E-2</v>
      </c>
      <c r="U44" s="5">
        <f t="shared" si="1"/>
        <v>3.0671797592236934E-2</v>
      </c>
    </row>
    <row r="45" spans="2:21" x14ac:dyDescent="0.2">
      <c r="B45">
        <v>14</v>
      </c>
      <c r="C45" s="5">
        <f t="shared" si="2"/>
        <v>5.8739794083227182E-3</v>
      </c>
      <c r="D45" s="5">
        <f t="shared" si="2"/>
        <v>6.8056001567454918E-3</v>
      </c>
      <c r="E45" s="5">
        <f t="shared" si="1"/>
        <v>8.1391177322747352E-3</v>
      </c>
      <c r="F45" s="5">
        <f t="shared" si="1"/>
        <v>6.9894952517219056E-3</v>
      </c>
      <c r="G45" s="5">
        <f t="shared" si="1"/>
        <v>8.3865793774715799E-3</v>
      </c>
      <c r="H45" s="5">
        <f t="shared" si="1"/>
        <v>1.1293861671066866E-2</v>
      </c>
      <c r="I45" s="5">
        <f t="shared" si="1"/>
        <v>1.426155701762705E-2</v>
      </c>
      <c r="J45" s="5">
        <f t="shared" si="1"/>
        <v>1.2398391185085072E-2</v>
      </c>
      <c r="K45" s="5">
        <f t="shared" si="1"/>
        <v>1.0656880524078148E-2</v>
      </c>
      <c r="L45" s="5">
        <f t="shared" si="1"/>
        <v>1.9380904293279832E-2</v>
      </c>
      <c r="M45" s="5">
        <f t="shared" si="1"/>
        <v>2.7013218951075946E-2</v>
      </c>
      <c r="N45" s="5">
        <f t="shared" si="1"/>
        <v>2.0288202962318109E-2</v>
      </c>
      <c r="O45" s="5">
        <f t="shared" si="1"/>
        <v>3.4796965392147265E-2</v>
      </c>
      <c r="P45" s="5">
        <f t="shared" si="1"/>
        <v>4.512434565826505E-2</v>
      </c>
      <c r="Q45" s="5">
        <f t="shared" si="1"/>
        <v>3.23389000219328E-2</v>
      </c>
      <c r="R45" s="5">
        <f t="shared" si="1"/>
        <v>2.0492870925549463E-2</v>
      </c>
      <c r="S45" s="5">
        <f t="shared" si="1"/>
        <v>1.6578277181637839E-2</v>
      </c>
      <c r="T45" s="5">
        <f t="shared" si="1"/>
        <v>2.2777656203326193E-2</v>
      </c>
      <c r="U45" s="5">
        <f t="shared" si="1"/>
        <v>3.0025672294916827E-2</v>
      </c>
    </row>
    <row r="46" spans="2:21" x14ac:dyDescent="0.2">
      <c r="B46">
        <v>15</v>
      </c>
      <c r="C46" s="5">
        <f t="shared" si="2"/>
        <v>5.5963846787340657E-3</v>
      </c>
      <c r="D46" s="5">
        <f t="shared" si="2"/>
        <v>4.898417293723637E-3</v>
      </c>
      <c r="E46" s="5">
        <f t="shared" si="1"/>
        <v>5.2751349401431325E-3</v>
      </c>
      <c r="F46" s="5">
        <f t="shared" si="1"/>
        <v>5.4110113584411139E-3</v>
      </c>
      <c r="G46" s="5">
        <f t="shared" si="1"/>
        <v>5.8133904645080873E-3</v>
      </c>
      <c r="H46" s="5">
        <f t="shared" si="1"/>
        <v>6.715007535999554E-3</v>
      </c>
      <c r="I46" s="5">
        <f t="shared" si="1"/>
        <v>9.0341082854189653E-3</v>
      </c>
      <c r="J46" s="5">
        <f t="shared" si="1"/>
        <v>1.2007240578415145E-2</v>
      </c>
      <c r="K46" s="5">
        <f t="shared" si="1"/>
        <v>1.0424197220081177E-2</v>
      </c>
      <c r="L46" s="5">
        <f t="shared" si="1"/>
        <v>8.1778485655244117E-3</v>
      </c>
      <c r="M46" s="5">
        <f t="shared" si="1"/>
        <v>2.0480428402033558E-2</v>
      </c>
      <c r="N46" s="5">
        <f t="shared" si="1"/>
        <v>1.3300901799901491E-2</v>
      </c>
      <c r="O46" s="5">
        <f t="shared" si="1"/>
        <v>2.8209940098695981E-2</v>
      </c>
      <c r="P46" s="5">
        <f t="shared" si="1"/>
        <v>2.9599158875197071E-2</v>
      </c>
      <c r="Q46" s="5">
        <f t="shared" si="1"/>
        <v>3.5025948258847639E-2</v>
      </c>
      <c r="R46" s="5">
        <f t="shared" si="1"/>
        <v>3.471396421828201E-2</v>
      </c>
      <c r="S46" s="5">
        <f t="shared" si="1"/>
        <v>1.847554317839676E-2</v>
      </c>
      <c r="T46" s="5">
        <f t="shared" si="1"/>
        <v>1.4978370940929391E-2</v>
      </c>
      <c r="U46" s="5">
        <f t="shared" si="1"/>
        <v>1.8073900935388135E-2</v>
      </c>
    </row>
    <row r="47" spans="2:21" x14ac:dyDescent="0.2">
      <c r="B47">
        <v>16</v>
      </c>
      <c r="C47" s="5">
        <f t="shared" si="2"/>
        <v>2.2127937837183001E-3</v>
      </c>
      <c r="D47" s="5">
        <f t="shared" si="2"/>
        <v>4.419921570827756E-3</v>
      </c>
      <c r="E47" s="5">
        <f t="shared" si="2"/>
        <v>3.4076127476766337E-3</v>
      </c>
      <c r="F47" s="5">
        <f t="shared" si="2"/>
        <v>3.2989483311068476E-3</v>
      </c>
      <c r="G47" s="5">
        <f t="shared" si="2"/>
        <v>4.5898271474983645E-3</v>
      </c>
      <c r="H47" s="5">
        <f t="shared" si="2"/>
        <v>4.2022516257298904E-3</v>
      </c>
      <c r="I47" s="5">
        <f t="shared" si="2"/>
        <v>4.890973678589562E-3</v>
      </c>
      <c r="J47" s="5">
        <f t="shared" si="2"/>
        <v>6.687857041852689E-3</v>
      </c>
      <c r="K47" s="5">
        <f t="shared" si="2"/>
        <v>1.0328071924796865E-2</v>
      </c>
      <c r="L47" s="5">
        <f t="shared" si="2"/>
        <v>8.0498244325950645E-3</v>
      </c>
      <c r="M47" s="5">
        <f t="shared" si="2"/>
        <v>7.2599306812923007E-3</v>
      </c>
      <c r="N47" s="5">
        <f t="shared" si="2"/>
        <v>9.1927301840171415E-3</v>
      </c>
      <c r="O47" s="5">
        <f t="shared" si="2"/>
        <v>1.5531429743799091E-2</v>
      </c>
      <c r="P47" s="5">
        <f t="shared" si="2"/>
        <v>2.2959338841615877E-2</v>
      </c>
      <c r="Q47" s="5">
        <f t="shared" si="2"/>
        <v>2.2123137837284125E-2</v>
      </c>
      <c r="R47" s="5">
        <f t="shared" si="2"/>
        <v>3.2684842802220906E-2</v>
      </c>
      <c r="S47" s="5">
        <f t="shared" ref="S47:U48" si="3">S$4*S23*$V23</f>
        <v>2.8267849462420776E-2</v>
      </c>
      <c r="T47" s="5">
        <f t="shared" si="3"/>
        <v>1.44162428197641E-2</v>
      </c>
      <c r="U47" s="5">
        <f t="shared" si="3"/>
        <v>1.4389742373404242E-2</v>
      </c>
    </row>
    <row r="48" spans="2:21" x14ac:dyDescent="0.2">
      <c r="B48">
        <v>17</v>
      </c>
      <c r="C48" s="5">
        <f t="shared" si="2"/>
        <v>7.0497240278132739E-4</v>
      </c>
      <c r="D48" s="5">
        <f t="shared" si="2"/>
        <v>1.6420499255206476E-3</v>
      </c>
      <c r="E48" s="5">
        <f t="shared" si="2"/>
        <v>2.5442120148997096E-3</v>
      </c>
      <c r="F48" s="5">
        <f t="shared" si="2"/>
        <v>1.7566874909967134E-3</v>
      </c>
      <c r="G48" s="5">
        <f t="shared" si="2"/>
        <v>2.8368779728564953E-3</v>
      </c>
      <c r="H48" s="5">
        <f t="shared" si="2"/>
        <v>2.8621690620225784E-3</v>
      </c>
      <c r="I48" s="5">
        <f t="shared" si="2"/>
        <v>2.9902827153379303E-3</v>
      </c>
      <c r="J48" s="5">
        <f t="shared" si="2"/>
        <v>2.9677323467544557E-3</v>
      </c>
      <c r="K48" s="5">
        <f t="shared" si="2"/>
        <v>6.0562067871850781E-3</v>
      </c>
      <c r="L48" s="5">
        <f t="shared" si="2"/>
        <v>7.7395597887947969E-3</v>
      </c>
      <c r="M48" s="5">
        <f t="shared" si="2"/>
        <v>6.1503075397139487E-3</v>
      </c>
      <c r="N48" s="5">
        <f t="shared" si="2"/>
        <v>3.1727641747582819E-3</v>
      </c>
      <c r="O48" s="5">
        <f t="shared" si="2"/>
        <v>1.0720985580448546E-2</v>
      </c>
      <c r="P48" s="5">
        <f t="shared" si="2"/>
        <v>1.0811959004621334E-2</v>
      </c>
      <c r="Q48" s="5">
        <f t="shared" si="2"/>
        <v>1.4491951551516006E-2</v>
      </c>
      <c r="R48" s="5">
        <f t="shared" si="2"/>
        <v>1.5108206657495881E-2</v>
      </c>
      <c r="S48" s="5">
        <f t="shared" si="3"/>
        <v>2.5087680761660493E-2</v>
      </c>
      <c r="T48" s="5">
        <f t="shared" si="3"/>
        <v>1.5193346827609946E-2</v>
      </c>
      <c r="U48" s="5">
        <f t="shared" si="3"/>
        <v>8.5139188105182676E-3</v>
      </c>
    </row>
    <row r="49" spans="1:21" x14ac:dyDescent="0.2">
      <c r="B49">
        <v>18</v>
      </c>
      <c r="C49" s="5">
        <f t="shared" ref="C49:U51" si="4">C$4*C25*$V25</f>
        <v>6.6056402962975469E-4</v>
      </c>
      <c r="D49" s="5">
        <f t="shared" si="4"/>
        <v>5.1856928559764457E-4</v>
      </c>
      <c r="E49" s="5">
        <f t="shared" si="4"/>
        <v>8.3962818089563672E-4</v>
      </c>
      <c r="F49" s="5">
        <f t="shared" si="4"/>
        <v>1.0241954238742839E-3</v>
      </c>
      <c r="G49" s="5">
        <f t="shared" si="4"/>
        <v>1.5267462825681889E-3</v>
      </c>
      <c r="H49" s="5">
        <f t="shared" si="4"/>
        <v>1.3653167854694706E-3</v>
      </c>
      <c r="I49" s="5">
        <f t="shared" si="4"/>
        <v>1.9402512594583088E-3</v>
      </c>
      <c r="J49" s="5">
        <f t="shared" si="4"/>
        <v>1.7648720461071439E-3</v>
      </c>
      <c r="K49" s="5">
        <f t="shared" si="4"/>
        <v>2.4334782796039183E-3</v>
      </c>
      <c r="L49" s="5">
        <f t="shared" si="4"/>
        <v>3.2975002323125148E-3</v>
      </c>
      <c r="M49" s="5">
        <f t="shared" si="4"/>
        <v>6.1470728644956877E-3</v>
      </c>
      <c r="N49" s="5">
        <f t="shared" si="4"/>
        <v>2.5765150939214376E-3</v>
      </c>
      <c r="O49" s="5">
        <f t="shared" si="4"/>
        <v>3.348545942452678E-3</v>
      </c>
      <c r="P49" s="5">
        <f t="shared" si="4"/>
        <v>8.7281432487721772E-3</v>
      </c>
      <c r="Q49" s="5">
        <f t="shared" si="4"/>
        <v>4.0883188657559128E-3</v>
      </c>
      <c r="R49" s="5">
        <f t="shared" si="4"/>
        <v>1.2155709855729167E-2</v>
      </c>
      <c r="S49" s="5">
        <f t="shared" si="4"/>
        <v>9.5636662178939721E-3</v>
      </c>
      <c r="T49" s="5">
        <f t="shared" si="4"/>
        <v>1.4685837789908682E-2</v>
      </c>
      <c r="U49" s="5">
        <f t="shared" si="4"/>
        <v>1.0424065254797927E-2</v>
      </c>
    </row>
    <row r="50" spans="1:21" x14ac:dyDescent="0.2">
      <c r="B50">
        <v>19</v>
      </c>
      <c r="C50" s="5">
        <f t="shared" si="4"/>
        <v>2.6514965473758105E-4</v>
      </c>
      <c r="D50" s="5">
        <f t="shared" si="4"/>
        <v>4.1173145605504597E-4</v>
      </c>
      <c r="E50" s="5">
        <f t="shared" si="4"/>
        <v>2.8887925939447782E-4</v>
      </c>
      <c r="F50" s="5">
        <f t="shared" si="4"/>
        <v>1.3214278456346497E-4</v>
      </c>
      <c r="G50" s="5">
        <f t="shared" si="4"/>
        <v>6.0189076343741311E-4</v>
      </c>
      <c r="H50" s="5">
        <f t="shared" si="4"/>
        <v>9.7863681110942329E-4</v>
      </c>
      <c r="I50" s="5">
        <f t="shared" si="4"/>
        <v>5.8048297798306064E-4</v>
      </c>
      <c r="J50" s="5">
        <f t="shared" si="4"/>
        <v>8.0366707529755084E-4</v>
      </c>
      <c r="K50" s="5">
        <f t="shared" si="4"/>
        <v>9.850037953910019E-4</v>
      </c>
      <c r="L50" s="5">
        <f t="shared" si="4"/>
        <v>1.0449575253831322E-3</v>
      </c>
      <c r="M50" s="5">
        <f t="shared" si="4"/>
        <v>2.2030608023685815E-3</v>
      </c>
      <c r="N50" s="5">
        <f t="shared" si="4"/>
        <v>2.386639029221321E-3</v>
      </c>
      <c r="O50" s="5">
        <f t="shared" si="4"/>
        <v>2.0161538337439516E-3</v>
      </c>
      <c r="P50" s="5">
        <f t="shared" si="4"/>
        <v>1.8768572319897649E-3</v>
      </c>
      <c r="Q50" s="5">
        <f t="shared" si="4"/>
        <v>2.8132226930454546E-3</v>
      </c>
      <c r="R50" s="5">
        <f t="shared" si="4"/>
        <v>2.2729603389491215E-3</v>
      </c>
      <c r="S50" s="5">
        <f t="shared" si="4"/>
        <v>5.8066560125686895E-3</v>
      </c>
      <c r="T50" s="5">
        <f t="shared" si="4"/>
        <v>4.8121458667696312E-3</v>
      </c>
      <c r="U50" s="5">
        <f t="shared" si="4"/>
        <v>7.6852800166350294E-3</v>
      </c>
    </row>
    <row r="51" spans="1:21" x14ac:dyDescent="0.2">
      <c r="B51">
        <v>20</v>
      </c>
      <c r="C51" s="5">
        <f t="shared" si="4"/>
        <v>1.2778483426382172E-4</v>
      </c>
      <c r="D51" s="5">
        <f t="shared" si="4"/>
        <v>1.7362423660181197E-4</v>
      </c>
      <c r="E51" s="5">
        <f t="shared" si="4"/>
        <v>2.1318208811467514E-4</v>
      </c>
      <c r="F51" s="5">
        <f t="shared" si="4"/>
        <v>3.7149117067868542E-5</v>
      </c>
      <c r="G51" s="5">
        <f t="shared" si="4"/>
        <v>0</v>
      </c>
      <c r="H51" s="5">
        <f t="shared" si="4"/>
        <v>2.2009824347461881E-4</v>
      </c>
      <c r="I51" s="5">
        <f t="shared" si="4"/>
        <v>6.1196389315455214E-4</v>
      </c>
      <c r="J51" s="5">
        <f t="shared" si="4"/>
        <v>1.5062253739366477E-4</v>
      </c>
      <c r="K51" s="5">
        <f t="shared" si="4"/>
        <v>4.1536911865627704E-4</v>
      </c>
      <c r="L51" s="5">
        <f t="shared" si="4"/>
        <v>2.5180067521862574E-4</v>
      </c>
      <c r="M51" s="5">
        <f t="shared" si="4"/>
        <v>5.5740907483272078E-4</v>
      </c>
      <c r="N51" s="5">
        <f t="shared" si="4"/>
        <v>4.3132661218027533E-4</v>
      </c>
      <c r="O51" s="5">
        <f t="shared" si="4"/>
        <v>2.1862228651144972E-3</v>
      </c>
      <c r="P51" s="5">
        <f t="shared" si="4"/>
        <v>7.9145739127409859E-4</v>
      </c>
      <c r="Q51" s="5">
        <f t="shared" si="4"/>
        <v>8.8973705182294007E-4</v>
      </c>
      <c r="R51" s="5">
        <f t="shared" si="4"/>
        <v>3.8339650553537098E-4</v>
      </c>
      <c r="S51" s="5">
        <f t="shared" si="4"/>
        <v>8.1620856067307884E-4</v>
      </c>
      <c r="T51" s="5">
        <f t="shared" si="4"/>
        <v>2.0292478027783725E-3</v>
      </c>
      <c r="U51" s="5">
        <f t="shared" si="4"/>
        <v>3.2408281085548715E-3</v>
      </c>
    </row>
    <row r="53" spans="1:21" x14ac:dyDescent="0.2">
      <c r="A53" s="76" t="s">
        <v>169</v>
      </c>
      <c r="B53" s="76"/>
      <c r="C53" s="49">
        <f>SUM(C32:C51)</f>
        <v>0.33795990325882597</v>
      </c>
      <c r="D53" s="49">
        <f t="shared" ref="D53:M53" si="5">SUM(D32:D51)</f>
        <v>0.358917116684213</v>
      </c>
      <c r="E53" s="49">
        <f t="shared" si="5"/>
        <v>0.38140333468952664</v>
      </c>
      <c r="F53" s="49">
        <f t="shared" si="5"/>
        <v>0.36440038361376814</v>
      </c>
      <c r="G53" s="49">
        <f t="shared" si="5"/>
        <v>0.40107583853530338</v>
      </c>
      <c r="H53" s="49">
        <f t="shared" si="5"/>
        <v>0.3839463751572279</v>
      </c>
      <c r="I53" s="49">
        <f t="shared" si="5"/>
        <v>0.38664967027840058</v>
      </c>
      <c r="J53" s="49">
        <f>SUM(J32:J51)</f>
        <v>0.38733317754648505</v>
      </c>
      <c r="K53" s="49">
        <f t="shared" si="5"/>
        <v>0.41334602374780932</v>
      </c>
      <c r="L53" s="49">
        <f t="shared" si="5"/>
        <v>0.40048150367238744</v>
      </c>
      <c r="M53" s="49">
        <f t="shared" si="5"/>
        <v>0.44992348606806409</v>
      </c>
      <c r="N53" s="49">
        <f>SUM(N32:N51)</f>
        <v>0.26211181767319375</v>
      </c>
      <c r="O53" s="49">
        <f>SUM(O32:O51)</f>
        <v>0.40759456864415766</v>
      </c>
      <c r="P53" s="49">
        <f t="shared" ref="P53:Q53" si="6">SUM(P32:P51)</f>
        <v>0.40081329495159673</v>
      </c>
      <c r="Q53" s="49">
        <f t="shared" si="6"/>
        <v>0.36589388706833242</v>
      </c>
      <c r="R53" s="49">
        <f>SUM(R32:R51)</f>
        <v>0.37951034810714041</v>
      </c>
      <c r="S53" s="49">
        <f>SUM(S32:S51)</f>
        <v>0.36905997357889819</v>
      </c>
      <c r="T53" s="49">
        <f t="shared" ref="T53:U53" si="7">SUM(T32:T51)</f>
        <v>0.38093835030850448</v>
      </c>
      <c r="U53" s="49">
        <f t="shared" si="7"/>
        <v>0.37796780049562251</v>
      </c>
    </row>
    <row r="56" spans="1:21" x14ac:dyDescent="0.2">
      <c r="B56" s="35" t="s">
        <v>74</v>
      </c>
      <c r="C56" t="s">
        <v>170</v>
      </c>
    </row>
    <row r="57" spans="1:21" x14ac:dyDescent="0.2">
      <c r="B57">
        <v>1995</v>
      </c>
      <c r="C57">
        <v>0.33795990325882597</v>
      </c>
    </row>
    <row r="58" spans="1:21" x14ac:dyDescent="0.2">
      <c r="B58">
        <v>1996</v>
      </c>
      <c r="C58">
        <v>0.358917116684213</v>
      </c>
    </row>
    <row r="59" spans="1:21" x14ac:dyDescent="0.2">
      <c r="B59">
        <v>1997</v>
      </c>
      <c r="C59">
        <v>0.38140333468952664</v>
      </c>
    </row>
    <row r="60" spans="1:21" x14ac:dyDescent="0.2">
      <c r="B60">
        <v>1998</v>
      </c>
      <c r="C60">
        <v>0.36440038361376814</v>
      </c>
    </row>
    <row r="61" spans="1:21" x14ac:dyDescent="0.2">
      <c r="B61">
        <v>1999</v>
      </c>
      <c r="C61">
        <v>0.40107583853530338</v>
      </c>
    </row>
    <row r="62" spans="1:21" x14ac:dyDescent="0.2">
      <c r="B62">
        <v>2000</v>
      </c>
      <c r="C62">
        <v>0.3839463751572279</v>
      </c>
    </row>
    <row r="63" spans="1:21" x14ac:dyDescent="0.2">
      <c r="B63">
        <v>2001</v>
      </c>
      <c r="C63">
        <v>0.38664967027840058</v>
      </c>
    </row>
    <row r="64" spans="1:21" x14ac:dyDescent="0.2">
      <c r="B64">
        <v>2002</v>
      </c>
      <c r="C64">
        <v>0.38733317754648505</v>
      </c>
    </row>
    <row r="65" spans="2:3" x14ac:dyDescent="0.2">
      <c r="B65">
        <v>2003</v>
      </c>
      <c r="C65">
        <v>0.41334602374780932</v>
      </c>
    </row>
    <row r="66" spans="2:3" x14ac:dyDescent="0.2">
      <c r="B66">
        <v>2004</v>
      </c>
      <c r="C66">
        <v>0.40048150367238744</v>
      </c>
    </row>
    <row r="67" spans="2:3" x14ac:dyDescent="0.2">
      <c r="B67">
        <v>2005</v>
      </c>
      <c r="C67">
        <v>0.44992348606806409</v>
      </c>
    </row>
    <row r="68" spans="2:3" x14ac:dyDescent="0.2">
      <c r="B68">
        <v>2006</v>
      </c>
      <c r="C68">
        <v>0.26211181767319375</v>
      </c>
    </row>
    <row r="69" spans="2:3" x14ac:dyDescent="0.2">
      <c r="B69">
        <v>2007</v>
      </c>
      <c r="C69">
        <v>0.40759456864415766</v>
      </c>
    </row>
    <row r="70" spans="2:3" x14ac:dyDescent="0.2">
      <c r="B70">
        <v>2008</v>
      </c>
      <c r="C70">
        <v>0.40081329495159673</v>
      </c>
    </row>
    <row r="71" spans="2:3" x14ac:dyDescent="0.2">
      <c r="B71">
        <v>2009</v>
      </c>
      <c r="C71">
        <v>0.36589388706833242</v>
      </c>
    </row>
    <row r="72" spans="2:3" x14ac:dyDescent="0.2">
      <c r="B72">
        <v>2010</v>
      </c>
      <c r="C72">
        <v>0.37951034810714041</v>
      </c>
    </row>
    <row r="73" spans="2:3" x14ac:dyDescent="0.2">
      <c r="B73">
        <v>2011</v>
      </c>
      <c r="C73">
        <v>0.36905997357889819</v>
      </c>
    </row>
    <row r="74" spans="2:3" x14ac:dyDescent="0.2">
      <c r="B74">
        <v>2012</v>
      </c>
      <c r="C74">
        <v>0.38093835030850448</v>
      </c>
    </row>
    <row r="75" spans="2:3" x14ac:dyDescent="0.2">
      <c r="B75">
        <v>2013</v>
      </c>
      <c r="C75">
        <v>0.37796780049562251</v>
      </c>
    </row>
  </sheetData>
  <mergeCells count="4">
    <mergeCell ref="C6:U6"/>
    <mergeCell ref="V6:V7"/>
    <mergeCell ref="C30:S30"/>
    <mergeCell ref="A53:B53"/>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7544B-AD03-A04A-8223-52BC90CFB6EE}">
  <sheetPr>
    <tabColor theme="8" tint="0.59999389629810485"/>
  </sheetPr>
  <dimension ref="A1:W57"/>
  <sheetViews>
    <sheetView workbookViewId="0">
      <selection activeCell="E4" sqref="E4"/>
    </sheetView>
  </sheetViews>
  <sheetFormatPr baseColWidth="10" defaultRowHeight="16" x14ac:dyDescent="0.2"/>
  <cols>
    <col min="2" max="2" width="4" bestFit="1" customWidth="1"/>
    <col min="3" max="3" width="8.6640625" bestFit="1" customWidth="1"/>
    <col min="4" max="8" width="12.1640625" bestFit="1" customWidth="1"/>
    <col min="9" max="9" width="9.83203125" bestFit="1" customWidth="1"/>
    <col min="11" max="12" width="12.1640625" bestFit="1" customWidth="1"/>
    <col min="13" max="13" width="13.1640625" bestFit="1" customWidth="1"/>
    <col min="14" max="14" width="12.1640625" bestFit="1" customWidth="1"/>
    <col min="15" max="15" width="14.1640625" bestFit="1" customWidth="1"/>
    <col min="16" max="16" width="12.83203125" bestFit="1" customWidth="1"/>
  </cols>
  <sheetData>
    <row r="1" spans="1:23" x14ac:dyDescent="0.2">
      <c r="A1" s="52"/>
      <c r="B1" s="52"/>
      <c r="C1" s="52"/>
      <c r="D1" s="52"/>
      <c r="E1" s="52"/>
      <c r="F1" s="52"/>
      <c r="G1" s="52"/>
      <c r="H1" s="52"/>
      <c r="I1" s="52"/>
      <c r="J1" s="52"/>
      <c r="K1" s="77" t="s">
        <v>184</v>
      </c>
      <c r="L1" s="77"/>
      <c r="M1" s="77"/>
      <c r="N1" s="77"/>
      <c r="O1" s="77"/>
      <c r="P1" s="77"/>
      <c r="Q1" s="52"/>
      <c r="R1" s="52"/>
      <c r="S1" s="52"/>
    </row>
    <row r="2" spans="1:23" x14ac:dyDescent="0.2">
      <c r="A2" s="52"/>
      <c r="B2" s="52" t="s">
        <v>83</v>
      </c>
      <c r="C2" s="52" t="s">
        <v>171</v>
      </c>
      <c r="D2" s="52" t="s">
        <v>172</v>
      </c>
      <c r="E2" s="52" t="s">
        <v>173</v>
      </c>
      <c r="F2" s="52" t="s">
        <v>176</v>
      </c>
      <c r="G2" s="52" t="s">
        <v>177</v>
      </c>
      <c r="H2" s="52" t="s">
        <v>174</v>
      </c>
      <c r="I2" s="52" t="s">
        <v>175</v>
      </c>
      <c r="J2" s="52"/>
      <c r="K2" s="52" t="s">
        <v>178</v>
      </c>
      <c r="L2" s="52" t="s">
        <v>179</v>
      </c>
      <c r="M2" s="52" t="s">
        <v>180</v>
      </c>
      <c r="N2" s="52" t="s">
        <v>181</v>
      </c>
      <c r="O2" s="52" t="s">
        <v>182</v>
      </c>
      <c r="P2" s="52" t="s">
        <v>183</v>
      </c>
      <c r="Q2" s="52"/>
      <c r="R2" s="52"/>
      <c r="S2" s="52"/>
    </row>
    <row r="3" spans="1:23" x14ac:dyDescent="0.2">
      <c r="A3" s="52"/>
      <c r="B3" s="52">
        <v>1</v>
      </c>
      <c r="C3" s="54">
        <v>0.99851000000000001</v>
      </c>
      <c r="D3" s="54">
        <v>1.359823E-3</v>
      </c>
      <c r="E3" s="54">
        <v>1.3015340000000001E-4</v>
      </c>
      <c r="F3" s="54"/>
      <c r="G3" s="54"/>
      <c r="H3" s="54">
        <v>1.3612924E-3</v>
      </c>
      <c r="I3" s="54">
        <v>1.3030459999999999E-4</v>
      </c>
      <c r="J3" s="54"/>
      <c r="K3" s="54"/>
      <c r="L3" s="54"/>
      <c r="M3" s="54"/>
      <c r="N3" s="54"/>
      <c r="O3" s="54"/>
      <c r="P3" s="54"/>
      <c r="Q3" s="52"/>
      <c r="R3" s="52"/>
      <c r="S3" s="52"/>
    </row>
    <row r="4" spans="1:23" x14ac:dyDescent="0.2">
      <c r="A4" s="52"/>
      <c r="B4" s="52">
        <v>2</v>
      </c>
      <c r="C4" s="54">
        <v>0.99959214699999999</v>
      </c>
      <c r="D4" s="54">
        <v>3.8603299999999998E-4</v>
      </c>
      <c r="E4" s="54">
        <v>2.1819800000000001E-5</v>
      </c>
      <c r="F4" s="54">
        <v>0.18192008600000001</v>
      </c>
      <c r="G4" s="54">
        <v>0.18191997300000001</v>
      </c>
      <c r="H4" s="54">
        <v>3.8611169999999998E-4</v>
      </c>
      <c r="I4" s="54">
        <v>2.182425E-5</v>
      </c>
      <c r="J4" s="54"/>
      <c r="K4" s="54">
        <v>0.99917202100000002</v>
      </c>
      <c r="L4" s="54">
        <v>1</v>
      </c>
      <c r="M4" s="54">
        <v>0</v>
      </c>
      <c r="N4" s="54">
        <v>0.356949401</v>
      </c>
      <c r="O4" s="54">
        <v>0</v>
      </c>
      <c r="P4" s="54">
        <v>0.356584966</v>
      </c>
      <c r="Q4" s="52"/>
      <c r="R4" s="52"/>
      <c r="S4" s="52"/>
    </row>
    <row r="5" spans="1:23" x14ac:dyDescent="0.2">
      <c r="A5" s="52"/>
      <c r="B5" s="52">
        <v>3</v>
      </c>
      <c r="C5" s="54">
        <v>0.99877291300000004</v>
      </c>
      <c r="D5" s="54">
        <v>1.1347359999999999E-3</v>
      </c>
      <c r="E5" s="54">
        <v>9.2350399999999996E-5</v>
      </c>
      <c r="F5" s="54">
        <v>0.15712889399999999</v>
      </c>
      <c r="G5" s="54">
        <v>0.15712754400000001</v>
      </c>
      <c r="H5" s="54">
        <v>1.1354328000000001E-3</v>
      </c>
      <c r="I5" s="54">
        <v>9.2407110000000006E-5</v>
      </c>
      <c r="J5" s="54"/>
      <c r="K5" s="54">
        <v>0.997388002</v>
      </c>
      <c r="L5" s="54">
        <v>1</v>
      </c>
      <c r="M5" s="54">
        <v>0</v>
      </c>
      <c r="N5" s="54">
        <v>0.30910736799999999</v>
      </c>
      <c r="O5" s="54">
        <v>0</v>
      </c>
      <c r="P5" s="54">
        <v>0.30806233700000002</v>
      </c>
      <c r="Q5" s="52"/>
      <c r="R5" s="52"/>
      <c r="S5" s="52"/>
    </row>
    <row r="6" spans="1:23" x14ac:dyDescent="0.2">
      <c r="A6" s="52"/>
      <c r="B6" s="52">
        <v>4</v>
      </c>
      <c r="C6" s="54">
        <v>0.99716501099999999</v>
      </c>
      <c r="D6" s="54">
        <v>2.5586990000000002E-3</v>
      </c>
      <c r="E6" s="54">
        <v>2.7629E-4</v>
      </c>
      <c r="F6" s="54">
        <v>0.13977740999999999</v>
      </c>
      <c r="G6" s="54">
        <v>0.13976839699999999</v>
      </c>
      <c r="H6" s="54">
        <v>2.5623327999999999E-3</v>
      </c>
      <c r="I6" s="54">
        <v>2.7668240000000002E-4</v>
      </c>
      <c r="J6" s="54"/>
      <c r="K6" s="54">
        <v>0.99369770400000001</v>
      </c>
      <c r="L6" s="54">
        <v>1</v>
      </c>
      <c r="M6" s="54">
        <v>0</v>
      </c>
      <c r="N6" s="54">
        <v>0.27652242199999999</v>
      </c>
      <c r="O6" s="54">
        <v>0</v>
      </c>
      <c r="P6" s="54">
        <v>0.274222348</v>
      </c>
      <c r="Q6" s="52"/>
      <c r="R6" s="52"/>
      <c r="S6" s="52"/>
    </row>
    <row r="7" spans="1:23" x14ac:dyDescent="0.2">
      <c r="A7" s="52"/>
      <c r="B7" s="52">
        <v>5</v>
      </c>
      <c r="C7" s="54">
        <v>0.99442109300000003</v>
      </c>
      <c r="D7" s="54">
        <v>4.9108169999999996E-3</v>
      </c>
      <c r="E7" s="54">
        <v>6.6808999999999998E-4</v>
      </c>
      <c r="F7" s="54">
        <v>0.12565306900000001</v>
      </c>
      <c r="G7" s="54">
        <v>0.12560796799999999</v>
      </c>
      <c r="H7" s="54">
        <v>4.9245666999999998E-3</v>
      </c>
      <c r="I7" s="54">
        <v>6.6996060000000003E-4</v>
      </c>
      <c r="J7" s="54"/>
      <c r="K7" s="54">
        <v>0.98685514699999999</v>
      </c>
      <c r="L7" s="54">
        <v>1</v>
      </c>
      <c r="M7" s="54">
        <v>0</v>
      </c>
      <c r="N7" s="54">
        <v>0.251190831</v>
      </c>
      <c r="O7" s="54">
        <v>0</v>
      </c>
      <c r="P7" s="54">
        <v>0.24685970700000001</v>
      </c>
      <c r="Q7" s="52"/>
      <c r="R7" s="52"/>
      <c r="S7" s="52"/>
    </row>
    <row r="8" spans="1:23" x14ac:dyDescent="0.2">
      <c r="A8" s="52"/>
      <c r="B8" s="52">
        <v>6</v>
      </c>
      <c r="C8" s="54">
        <v>0.99014568199999997</v>
      </c>
      <c r="D8" s="54">
        <v>8.4557969999999993E-3</v>
      </c>
      <c r="E8" s="54">
        <v>1.398521E-3</v>
      </c>
      <c r="F8" s="54">
        <v>0.11310577600000001</v>
      </c>
      <c r="G8" s="54">
        <v>0.112932253</v>
      </c>
      <c r="H8" s="54">
        <v>8.4977357999999996E-3</v>
      </c>
      <c r="I8" s="54">
        <v>1.4054569999999999E-3</v>
      </c>
      <c r="J8" s="54"/>
      <c r="K8" s="54">
        <v>0.97564060200000002</v>
      </c>
      <c r="L8" s="54">
        <v>1</v>
      </c>
      <c r="M8" s="54">
        <v>0</v>
      </c>
      <c r="N8" s="54">
        <v>0.23014311900000001</v>
      </c>
      <c r="O8" s="54">
        <v>0</v>
      </c>
      <c r="P8" s="54">
        <v>0.222745737</v>
      </c>
      <c r="Q8" s="52"/>
      <c r="R8" s="52"/>
      <c r="S8" s="52"/>
    </row>
    <row r="9" spans="1:23" x14ac:dyDescent="0.2">
      <c r="A9" s="52"/>
      <c r="B9" s="52">
        <v>7</v>
      </c>
      <c r="C9" s="54">
        <v>0.98390515899999997</v>
      </c>
      <c r="D9" s="54">
        <v>1.3458526E-2</v>
      </c>
      <c r="E9" s="54">
        <v>2.6363160000000001E-3</v>
      </c>
      <c r="F9" s="54">
        <v>0.10153802000000001</v>
      </c>
      <c r="G9" s="54">
        <v>0.101006149</v>
      </c>
      <c r="H9" s="54">
        <v>1.35680088E-2</v>
      </c>
      <c r="I9" s="54">
        <v>2.6577620000000001E-3</v>
      </c>
      <c r="J9" s="54"/>
      <c r="K9" s="54">
        <v>0.95909642799999995</v>
      </c>
      <c r="L9" s="54">
        <v>1</v>
      </c>
      <c r="M9" s="54">
        <v>0</v>
      </c>
      <c r="N9" s="54">
        <v>0.212473045</v>
      </c>
      <c r="O9" s="54">
        <v>0</v>
      </c>
      <c r="P9" s="54">
        <v>0.20060836800000001</v>
      </c>
      <c r="Q9" s="53"/>
      <c r="R9" s="53"/>
      <c r="S9" s="53"/>
      <c r="T9" s="22"/>
      <c r="U9" s="22"/>
      <c r="V9" s="22"/>
      <c r="W9" s="22"/>
    </row>
    <row r="10" spans="1:23" x14ac:dyDescent="0.2">
      <c r="A10" s="52"/>
      <c r="B10" s="52">
        <v>8</v>
      </c>
      <c r="C10" s="54">
        <v>0.97522619799999999</v>
      </c>
      <c r="D10" s="54">
        <v>2.0183723000000001E-2</v>
      </c>
      <c r="E10" s="54">
        <v>4.5900790000000004E-3</v>
      </c>
      <c r="F10" s="54">
        <v>9.0852325999999997E-2</v>
      </c>
      <c r="G10" s="54">
        <v>8.9565975000000006E-2</v>
      </c>
      <c r="H10" s="54">
        <v>2.0437944199999999E-2</v>
      </c>
      <c r="I10" s="54">
        <v>4.6478930000000002E-3</v>
      </c>
      <c r="J10" s="54"/>
      <c r="K10" s="54">
        <v>0.93759062699999995</v>
      </c>
      <c r="L10" s="54">
        <v>1</v>
      </c>
      <c r="M10" s="54">
        <v>0</v>
      </c>
      <c r="N10" s="54">
        <v>0.198254282</v>
      </c>
      <c r="O10" s="54">
        <v>0</v>
      </c>
      <c r="P10" s="54">
        <v>0.18013939100000001</v>
      </c>
      <c r="Q10" s="53"/>
      <c r="R10" s="53"/>
      <c r="S10" s="53"/>
      <c r="T10" s="22"/>
      <c r="U10" s="22"/>
      <c r="V10" s="22"/>
      <c r="W10" s="22"/>
    </row>
    <row r="11" spans="1:23" x14ac:dyDescent="0.2">
      <c r="A11" s="52"/>
      <c r="B11" s="52">
        <v>9</v>
      </c>
      <c r="C11" s="54">
        <v>0.96360939400000001</v>
      </c>
      <c r="D11" s="54">
        <v>2.8883793000000001E-2</v>
      </c>
      <c r="E11" s="54">
        <v>7.5068130000000002E-3</v>
      </c>
      <c r="F11" s="54">
        <v>8.1501760000000006E-2</v>
      </c>
      <c r="G11" s="54">
        <v>7.8655181000000005E-2</v>
      </c>
      <c r="H11" s="54">
        <v>2.94224508E-2</v>
      </c>
      <c r="I11" s="54">
        <v>7.6468090000000001E-3</v>
      </c>
      <c r="J11" s="54"/>
      <c r="K11" s="54">
        <v>0.90900696199999997</v>
      </c>
      <c r="L11" s="54">
        <v>1</v>
      </c>
      <c r="M11" s="54">
        <v>0</v>
      </c>
      <c r="N11" s="54">
        <v>0.188627242</v>
      </c>
      <c r="O11" s="54">
        <v>0</v>
      </c>
      <c r="P11" s="54">
        <v>0.161670968</v>
      </c>
      <c r="Q11" s="53"/>
      <c r="R11" s="52"/>
      <c r="S11" s="52"/>
      <c r="T11" s="50"/>
      <c r="U11" s="50"/>
      <c r="V11" s="50"/>
      <c r="W11" s="51"/>
    </row>
    <row r="12" spans="1:23" x14ac:dyDescent="0.2">
      <c r="A12" s="52"/>
      <c r="B12" s="52">
        <v>10</v>
      </c>
      <c r="C12" s="54">
        <v>0.94854530000000004</v>
      </c>
      <c r="D12" s="54">
        <v>3.9786817000000002E-2</v>
      </c>
      <c r="E12" s="54">
        <v>1.1667883E-2</v>
      </c>
      <c r="F12" s="54">
        <v>7.4398764000000006E-2</v>
      </c>
      <c r="G12" s="54">
        <v>6.8598437999999998E-2</v>
      </c>
      <c r="H12" s="54">
        <v>4.0846952700000001E-2</v>
      </c>
      <c r="I12" s="54">
        <v>1.197878E-2</v>
      </c>
      <c r="J12" s="54"/>
      <c r="K12" s="54">
        <v>0.87218649299999995</v>
      </c>
      <c r="L12" s="54">
        <v>1</v>
      </c>
      <c r="M12" s="54">
        <v>0</v>
      </c>
      <c r="N12" s="54">
        <v>0.18560839400000001</v>
      </c>
      <c r="O12" s="54">
        <v>0</v>
      </c>
      <c r="P12" s="54">
        <v>0.14612082200000001</v>
      </c>
      <c r="Q12" s="53"/>
      <c r="R12" s="52"/>
      <c r="S12" s="52"/>
      <c r="T12" s="50"/>
      <c r="U12" s="50"/>
      <c r="V12" s="50"/>
      <c r="W12" s="51"/>
    </row>
    <row r="13" spans="1:23" x14ac:dyDescent="0.2">
      <c r="A13" s="52"/>
      <c r="B13" s="52">
        <v>11</v>
      </c>
      <c r="C13" s="54">
        <v>0.92953648899999997</v>
      </c>
      <c r="D13" s="54">
        <v>5.3082087E-2</v>
      </c>
      <c r="E13" s="54">
        <v>1.7381423999999999E-2</v>
      </c>
      <c r="F13" s="54">
        <v>7.0224072999999998E-2</v>
      </c>
      <c r="G13" s="54">
        <v>5.9986950999999997E-2</v>
      </c>
      <c r="H13" s="54">
        <v>5.5045035700000002E-2</v>
      </c>
      <c r="I13" s="54">
        <v>1.8024180000000001E-2</v>
      </c>
      <c r="J13" s="54"/>
      <c r="K13" s="54">
        <v>0.82900250200000003</v>
      </c>
      <c r="L13" s="54">
        <v>1</v>
      </c>
      <c r="M13" s="54">
        <v>0</v>
      </c>
      <c r="N13" s="54">
        <v>0.190721271</v>
      </c>
      <c r="O13" s="54">
        <v>0</v>
      </c>
      <c r="P13" s="54">
        <v>0.13495584799999999</v>
      </c>
      <c r="Q13" s="53"/>
      <c r="R13" s="52"/>
      <c r="S13" s="52"/>
      <c r="T13" s="50"/>
      <c r="U13" s="50"/>
      <c r="V13" s="50"/>
      <c r="W13" s="51"/>
    </row>
    <row r="14" spans="1:23" x14ac:dyDescent="0.2">
      <c r="A14" s="52"/>
      <c r="B14" s="52">
        <v>12</v>
      </c>
      <c r="C14" s="54">
        <v>0.90611727500000006</v>
      </c>
      <c r="D14" s="54">
        <v>6.8909866E-2</v>
      </c>
      <c r="E14" s="54">
        <v>2.4972858000000001E-2</v>
      </c>
      <c r="F14" s="54">
        <v>6.9223014999999999E-2</v>
      </c>
      <c r="G14" s="54">
        <v>5.3649333E-2</v>
      </c>
      <c r="H14" s="54">
        <v>7.2362462500000002E-2</v>
      </c>
      <c r="I14" s="54">
        <v>2.622408E-2</v>
      </c>
      <c r="J14" s="54"/>
      <c r="K14" s="54">
        <v>0.78078688399999996</v>
      </c>
      <c r="L14" s="54">
        <v>1</v>
      </c>
      <c r="M14" s="54">
        <v>0</v>
      </c>
      <c r="N14" s="54">
        <v>0.204586975</v>
      </c>
      <c r="O14" s="54">
        <v>0</v>
      </c>
      <c r="P14" s="54">
        <v>0.13012555100000001</v>
      </c>
      <c r="Q14" s="53"/>
      <c r="R14" s="52"/>
      <c r="S14" s="52"/>
      <c r="T14" s="50"/>
      <c r="U14" s="50"/>
      <c r="V14" s="50"/>
      <c r="W14" s="51"/>
    </row>
    <row r="15" spans="1:23" x14ac:dyDescent="0.2">
      <c r="A15" s="52"/>
      <c r="B15" s="52">
        <v>13</v>
      </c>
      <c r="C15" s="54">
        <v>0.87788693500000003</v>
      </c>
      <c r="D15" s="54">
        <v>8.7343407999999997E-2</v>
      </c>
      <c r="E15" s="54">
        <v>3.4769658000000002E-2</v>
      </c>
      <c r="F15" s="54">
        <v>7.1639483000000004E-2</v>
      </c>
      <c r="G15" s="54">
        <v>5.0558986E-2</v>
      </c>
      <c r="H15" s="54">
        <v>9.31545238E-2</v>
      </c>
      <c r="I15" s="54">
        <v>3.7082950000000003E-2</v>
      </c>
      <c r="J15" s="54"/>
      <c r="K15" s="54">
        <v>0.72627759000000003</v>
      </c>
      <c r="L15" s="54">
        <v>1</v>
      </c>
      <c r="M15" s="54">
        <v>0</v>
      </c>
      <c r="N15" s="54">
        <v>0.22775679500000001</v>
      </c>
      <c r="O15" s="54">
        <v>0</v>
      </c>
      <c r="P15" s="54">
        <v>0.13386527000000001</v>
      </c>
      <c r="Q15" s="53"/>
      <c r="R15" s="52"/>
      <c r="S15" s="52"/>
      <c r="T15" s="50"/>
      <c r="U15" s="50"/>
      <c r="V15" s="50"/>
      <c r="W15" s="51"/>
    </row>
    <row r="16" spans="1:23" x14ac:dyDescent="0.2">
      <c r="A16" s="52"/>
      <c r="B16" s="52">
        <v>14</v>
      </c>
      <c r="C16" s="54">
        <v>0.84455477400000001</v>
      </c>
      <c r="D16" s="54">
        <v>0.10836581200000001</v>
      </c>
      <c r="E16" s="54">
        <v>4.7079413000000001E-2</v>
      </c>
      <c r="F16" s="54">
        <v>7.7114398000000001E-2</v>
      </c>
      <c r="G16" s="54">
        <v>5.1291457999999998E-2</v>
      </c>
      <c r="H16" s="54">
        <v>0.1177774115</v>
      </c>
      <c r="I16" s="54">
        <v>5.1168270000000002E-2</v>
      </c>
      <c r="J16" s="54"/>
      <c r="K16" s="54">
        <v>0.66480929700000002</v>
      </c>
      <c r="L16" s="54">
        <v>1</v>
      </c>
      <c r="M16" s="54">
        <v>0</v>
      </c>
      <c r="N16" s="54">
        <v>0.259510032</v>
      </c>
      <c r="O16" s="54">
        <v>0</v>
      </c>
      <c r="P16" s="54">
        <v>0.14761067</v>
      </c>
      <c r="Q16" s="53"/>
      <c r="R16" s="52"/>
      <c r="S16" s="52"/>
      <c r="T16" s="50"/>
      <c r="U16" s="50"/>
      <c r="V16" s="50"/>
      <c r="W16" s="51"/>
    </row>
    <row r="17" spans="1:23" x14ac:dyDescent="0.2">
      <c r="A17" s="52"/>
      <c r="B17" s="52">
        <v>15</v>
      </c>
      <c r="C17" s="54">
        <v>0.80595677300000002</v>
      </c>
      <c r="D17" s="54">
        <v>0.13187014799999999</v>
      </c>
      <c r="E17" s="54">
        <v>6.2173078999999999E-2</v>
      </c>
      <c r="F17" s="54">
        <v>8.2392740000000006E-2</v>
      </c>
      <c r="G17" s="54">
        <v>5.4708445000000001E-2</v>
      </c>
      <c r="H17" s="54">
        <v>0.14660501400000001</v>
      </c>
      <c r="I17" s="54">
        <v>6.912016E-2</v>
      </c>
      <c r="J17" s="54"/>
      <c r="K17" s="54">
        <v>0.60447516999999995</v>
      </c>
      <c r="L17" s="54">
        <v>1</v>
      </c>
      <c r="M17" s="54">
        <v>0</v>
      </c>
      <c r="N17" s="54">
        <v>0.293359918</v>
      </c>
      <c r="O17" s="54">
        <v>0</v>
      </c>
      <c r="P17" s="54">
        <v>0.169401631</v>
      </c>
      <c r="Q17" s="53"/>
      <c r="R17" s="52"/>
      <c r="S17" s="52"/>
      <c r="T17" s="50"/>
      <c r="U17" s="50"/>
      <c r="V17" s="50"/>
      <c r="W17" s="51"/>
    </row>
    <row r="18" spans="1:23" x14ac:dyDescent="0.2">
      <c r="A18" s="52"/>
      <c r="B18" s="52">
        <v>16</v>
      </c>
      <c r="C18" s="54">
        <v>0.76211337400000001</v>
      </c>
      <c r="D18" s="54">
        <v>0.15763280599999999</v>
      </c>
      <c r="E18" s="54">
        <v>8.0253819000000004E-2</v>
      </c>
      <c r="F18" s="54">
        <v>9.0651857000000002E-2</v>
      </c>
      <c r="G18" s="54">
        <v>6.1032505000000001E-2</v>
      </c>
      <c r="H18" s="54">
        <v>0.18001230600000001</v>
      </c>
      <c r="I18" s="54">
        <v>9.1647640000000002E-2</v>
      </c>
      <c r="J18" s="54"/>
      <c r="K18" s="54">
        <v>0.53176362200000005</v>
      </c>
      <c r="L18" s="54">
        <v>0.99246312599999997</v>
      </c>
      <c r="M18" s="54">
        <v>0</v>
      </c>
      <c r="N18" s="54">
        <v>0.33531044599999998</v>
      </c>
      <c r="O18" s="54">
        <v>0</v>
      </c>
      <c r="P18" s="54">
        <v>0.199877529</v>
      </c>
      <c r="Q18" s="53"/>
      <c r="R18" s="52"/>
      <c r="S18" s="52"/>
      <c r="T18" s="50"/>
      <c r="U18" s="50"/>
      <c r="V18" s="50"/>
      <c r="W18" s="51"/>
    </row>
    <row r="19" spans="1:23" x14ac:dyDescent="0.2">
      <c r="A19" s="52"/>
      <c r="B19" s="52">
        <v>17</v>
      </c>
      <c r="C19" s="54">
        <v>0.71325326200000005</v>
      </c>
      <c r="D19" s="54">
        <v>0.185313266</v>
      </c>
      <c r="E19" s="54">
        <v>0.101433472</v>
      </c>
      <c r="F19" s="54">
        <v>0.105534906</v>
      </c>
      <c r="G19" s="54">
        <v>7.1398573000000007E-2</v>
      </c>
      <c r="H19" s="54">
        <v>0.21838372510000001</v>
      </c>
      <c r="I19" s="54">
        <v>0.119535</v>
      </c>
      <c r="J19" s="54"/>
      <c r="K19" s="54">
        <v>0.43161602199999999</v>
      </c>
      <c r="L19" s="54">
        <v>0.99489050300000004</v>
      </c>
      <c r="M19" s="54">
        <v>0</v>
      </c>
      <c r="N19" s="54">
        <v>0.39216168200000001</v>
      </c>
      <c r="O19" s="54">
        <v>0</v>
      </c>
      <c r="P19" s="54">
        <v>0.24137467600000001</v>
      </c>
      <c r="Q19" s="53"/>
      <c r="R19" s="52"/>
      <c r="S19" s="52"/>
      <c r="T19" s="50"/>
      <c r="U19" s="50"/>
      <c r="V19" s="50"/>
      <c r="W19" s="51"/>
    </row>
    <row r="20" spans="1:23" x14ac:dyDescent="0.2">
      <c r="A20" s="52"/>
      <c r="B20" s="52">
        <v>18</v>
      </c>
      <c r="C20" s="54">
        <v>0.65984358200000004</v>
      </c>
      <c r="D20" s="54">
        <v>0.21445038299999999</v>
      </c>
      <c r="E20" s="54">
        <v>0.12570603499999999</v>
      </c>
      <c r="F20" s="54">
        <v>0.118208301</v>
      </c>
      <c r="G20" s="54">
        <v>8.1901586999999998E-2</v>
      </c>
      <c r="H20" s="54">
        <v>0.26210963980000002</v>
      </c>
      <c r="I20" s="54">
        <v>0.1536428</v>
      </c>
      <c r="J20" s="54"/>
      <c r="K20" s="54">
        <v>0.33276447599999998</v>
      </c>
      <c r="L20" s="54">
        <v>0.98692268900000002</v>
      </c>
      <c r="M20" s="54">
        <v>0</v>
      </c>
      <c r="N20" s="54">
        <v>0.44613865400000002</v>
      </c>
      <c r="O20" s="54">
        <v>0</v>
      </c>
      <c r="P20" s="54">
        <v>0.28623314599999999</v>
      </c>
      <c r="Q20" s="53"/>
      <c r="R20" s="52"/>
      <c r="S20" s="52"/>
      <c r="T20" s="50"/>
      <c r="U20" s="50"/>
      <c r="V20" s="50"/>
      <c r="W20" s="51"/>
    </row>
    <row r="21" spans="1:23" x14ac:dyDescent="0.2">
      <c r="A21" s="52"/>
      <c r="B21" s="52">
        <v>19</v>
      </c>
      <c r="C21" s="54">
        <v>0.60259151399999999</v>
      </c>
      <c r="D21" s="54">
        <v>0.24447735500000001</v>
      </c>
      <c r="E21" s="54">
        <v>0.152931131</v>
      </c>
      <c r="F21" s="54">
        <v>0.125162355</v>
      </c>
      <c r="G21" s="54">
        <v>9.0014130999999997E-2</v>
      </c>
      <c r="H21" s="54">
        <v>0.31159784309999999</v>
      </c>
      <c r="I21" s="54">
        <v>0.19491790000000001</v>
      </c>
      <c r="J21" s="54"/>
      <c r="K21" s="54">
        <v>0.24744830000000001</v>
      </c>
      <c r="L21" s="54">
        <v>0.95773472900000001</v>
      </c>
      <c r="M21" s="54">
        <v>0</v>
      </c>
      <c r="N21" s="54">
        <v>0.48979557099999999</v>
      </c>
      <c r="O21" s="54">
        <v>0</v>
      </c>
      <c r="P21" s="54">
        <v>0.32935882700000002</v>
      </c>
      <c r="Q21" s="53"/>
      <c r="R21" s="52"/>
      <c r="S21" s="52"/>
      <c r="T21" s="50"/>
      <c r="U21" s="50"/>
      <c r="V21" s="50"/>
      <c r="W21" s="51"/>
    </row>
    <row r="22" spans="1:23" x14ac:dyDescent="0.2">
      <c r="A22" s="52"/>
      <c r="B22" s="52">
        <v>20</v>
      </c>
      <c r="C22" s="54">
        <v>0.54247649499999995</v>
      </c>
      <c r="D22" s="54">
        <v>0.274716601</v>
      </c>
      <c r="E22" s="54">
        <v>0.18280690299999999</v>
      </c>
      <c r="F22" s="54">
        <v>0.13453596300000001</v>
      </c>
      <c r="G22" s="54">
        <v>9.9691178000000005E-2</v>
      </c>
      <c r="H22" s="54">
        <v>0.367237009</v>
      </c>
      <c r="I22" s="54">
        <v>0.24437349999999999</v>
      </c>
      <c r="J22" s="54"/>
      <c r="K22" s="54">
        <v>0.14741053600000001</v>
      </c>
      <c r="L22" s="54">
        <v>0.937542455</v>
      </c>
      <c r="M22" s="54">
        <v>1.1026113000000001E-2</v>
      </c>
      <c r="N22" s="54">
        <v>0.53840708999999998</v>
      </c>
      <c r="O22" s="54">
        <v>0</v>
      </c>
      <c r="P22" s="54">
        <v>0.37820161299999999</v>
      </c>
      <c r="Q22" s="53"/>
      <c r="R22" s="52"/>
      <c r="S22" s="52"/>
      <c r="T22" s="50"/>
      <c r="U22" s="50"/>
      <c r="V22" s="50"/>
      <c r="W22" s="51"/>
    </row>
    <row r="23" spans="1:23" x14ac:dyDescent="0.2">
      <c r="A23" s="52"/>
      <c r="B23" s="52">
        <v>21</v>
      </c>
      <c r="C23" s="54">
        <v>0.480648044</v>
      </c>
      <c r="D23" s="54">
        <v>0.304454524</v>
      </c>
      <c r="E23" s="54">
        <v>0.214897432</v>
      </c>
      <c r="F23" s="54">
        <v>0.145120996</v>
      </c>
      <c r="G23" s="54">
        <v>0.110659693</v>
      </c>
      <c r="H23" s="54"/>
      <c r="I23" s="54"/>
      <c r="J23" s="54"/>
      <c r="K23" s="54">
        <v>3.7512396000000003E-2</v>
      </c>
      <c r="L23" s="54">
        <v>0.92378369100000002</v>
      </c>
      <c r="M23" s="54">
        <v>2.0017371999999999E-2</v>
      </c>
      <c r="N23" s="54">
        <v>0.58889167600000003</v>
      </c>
      <c r="O23" s="54">
        <v>0</v>
      </c>
      <c r="P23" s="54">
        <v>0.43179043</v>
      </c>
      <c r="Q23" s="53"/>
      <c r="R23" s="52"/>
      <c r="S23" s="52"/>
      <c r="T23" s="50"/>
      <c r="U23" s="50"/>
      <c r="V23" s="50"/>
      <c r="W23" s="51"/>
    </row>
    <row r="24" spans="1:23" x14ac:dyDescent="0.2">
      <c r="A24" s="52"/>
      <c r="B24" s="52">
        <v>22</v>
      </c>
      <c r="C24" s="54">
        <v>0.41851534400000001</v>
      </c>
      <c r="D24" s="54">
        <v>0.33289634099999998</v>
      </c>
      <c r="E24" s="54">
        <v>0.248588316</v>
      </c>
      <c r="F24" s="54">
        <v>0.146938126</v>
      </c>
      <c r="G24" s="54">
        <v>0.116284519</v>
      </c>
      <c r="H24" s="54"/>
      <c r="I24" s="54"/>
      <c r="J24" s="54"/>
      <c r="K24" s="54">
        <v>0</v>
      </c>
      <c r="L24" s="54">
        <v>0.88088908200000005</v>
      </c>
      <c r="M24" s="54">
        <v>4.4897614000000002E-2</v>
      </c>
      <c r="N24" s="54">
        <v>0.62089506800000005</v>
      </c>
      <c r="O24" s="54">
        <v>2.0670658000000001E-2</v>
      </c>
      <c r="P24" s="54">
        <v>0.47650597300000003</v>
      </c>
      <c r="Q24" s="53"/>
      <c r="R24" s="52"/>
      <c r="S24" s="52"/>
      <c r="T24" s="50"/>
      <c r="U24" s="50"/>
      <c r="V24" s="50"/>
      <c r="W24" s="51"/>
    </row>
    <row r="25" spans="1:23" x14ac:dyDescent="0.2">
      <c r="A25" s="52"/>
      <c r="B25" s="52">
        <v>23</v>
      </c>
      <c r="C25" s="54">
        <v>0.35749466400000002</v>
      </c>
      <c r="D25" s="54">
        <v>0.35931857</v>
      </c>
      <c r="E25" s="54">
        <v>0.28318676599999998</v>
      </c>
      <c r="F25" s="54">
        <v>0.13876902799999999</v>
      </c>
      <c r="G25" s="54">
        <v>0.114513226</v>
      </c>
      <c r="H25" s="54"/>
      <c r="I25" s="54"/>
      <c r="J25" s="54"/>
      <c r="K25" s="54">
        <v>0</v>
      </c>
      <c r="L25" s="54">
        <v>0.80378921699999994</v>
      </c>
      <c r="M25" s="54">
        <v>8.7331275E-2</v>
      </c>
      <c r="N25" s="54">
        <v>0.63130586499999997</v>
      </c>
      <c r="O25" s="54">
        <v>5.8740844E-2</v>
      </c>
      <c r="P25" s="54">
        <v>0.50763268800000005</v>
      </c>
      <c r="Q25" s="53"/>
      <c r="R25" s="52"/>
      <c r="S25" s="52"/>
      <c r="T25" s="50"/>
      <c r="U25" s="50"/>
      <c r="V25" s="50"/>
      <c r="W25" s="51"/>
    </row>
    <row r="26" spans="1:23" x14ac:dyDescent="0.2">
      <c r="A26" s="52"/>
      <c r="B26" s="52"/>
      <c r="C26" s="52"/>
      <c r="D26" s="52"/>
      <c r="E26" s="52"/>
      <c r="F26" s="52"/>
      <c r="G26" s="52"/>
      <c r="H26" s="52"/>
      <c r="I26" s="52"/>
      <c r="J26" s="52"/>
      <c r="K26" s="52"/>
      <c r="L26" s="52"/>
      <c r="M26" s="52"/>
      <c r="N26" s="52"/>
      <c r="O26" s="52"/>
      <c r="P26" s="52"/>
      <c r="Q26" s="53"/>
      <c r="R26" s="52"/>
      <c r="S26" s="52"/>
      <c r="T26" s="50"/>
      <c r="U26" s="50"/>
      <c r="V26" s="50"/>
      <c r="W26" s="51"/>
    </row>
    <row r="27" spans="1:23" x14ac:dyDescent="0.2">
      <c r="A27" s="52"/>
      <c r="B27" s="52"/>
      <c r="C27" s="52"/>
      <c r="D27" s="52"/>
      <c r="E27" s="52"/>
      <c r="F27" s="52"/>
      <c r="G27" s="52"/>
      <c r="H27" s="52"/>
      <c r="I27" s="52"/>
      <c r="J27" s="52"/>
      <c r="K27" s="52"/>
      <c r="L27" s="52"/>
      <c r="M27" s="52"/>
      <c r="N27" s="52"/>
      <c r="O27" s="52"/>
      <c r="P27" s="52"/>
      <c r="Q27" s="53"/>
      <c r="R27" s="52"/>
      <c r="S27" s="52"/>
      <c r="T27" s="50"/>
      <c r="U27" s="50"/>
      <c r="V27" s="50"/>
      <c r="W27" s="51"/>
    </row>
    <row r="28" spans="1:23" x14ac:dyDescent="0.2">
      <c r="J28" s="77" t="s">
        <v>196</v>
      </c>
      <c r="K28" s="77"/>
      <c r="L28" s="77"/>
      <c r="M28" s="77"/>
      <c r="N28" s="77"/>
      <c r="O28" s="77"/>
      <c r="P28" s="77"/>
      <c r="Q28" s="77"/>
      <c r="R28" s="77"/>
      <c r="S28" s="77"/>
      <c r="T28" s="50"/>
      <c r="U28" s="50"/>
      <c r="V28" s="50"/>
      <c r="W28" s="51"/>
    </row>
    <row r="29" spans="1:23" x14ac:dyDescent="0.2">
      <c r="J29" t="s">
        <v>185</v>
      </c>
      <c r="K29" t="s">
        <v>186</v>
      </c>
      <c r="L29" t="s">
        <v>74</v>
      </c>
      <c r="M29" t="s">
        <v>187</v>
      </c>
      <c r="N29" t="s">
        <v>188</v>
      </c>
      <c r="O29" t="s">
        <v>189</v>
      </c>
      <c r="P29" t="s">
        <v>190</v>
      </c>
      <c r="Q29" t="s">
        <v>171</v>
      </c>
      <c r="R29" t="s">
        <v>191</v>
      </c>
      <c r="S29" t="s">
        <v>55</v>
      </c>
      <c r="T29" s="50"/>
      <c r="U29" s="50"/>
      <c r="V29" s="50"/>
      <c r="W29" s="51"/>
    </row>
    <row r="30" spans="1:23" x14ac:dyDescent="0.2">
      <c r="J30" t="s">
        <v>192</v>
      </c>
      <c r="K30" t="s">
        <v>193</v>
      </c>
      <c r="L30">
        <v>2000</v>
      </c>
      <c r="M30">
        <v>0</v>
      </c>
      <c r="N30">
        <v>0</v>
      </c>
      <c r="O30">
        <v>0</v>
      </c>
      <c r="P30">
        <v>0</v>
      </c>
      <c r="Q30">
        <v>1</v>
      </c>
      <c r="R30">
        <v>0</v>
      </c>
      <c r="S30">
        <v>50</v>
      </c>
      <c r="T30" s="50"/>
      <c r="U30" s="50"/>
      <c r="V30" s="50"/>
      <c r="W30" s="51"/>
    </row>
    <row r="31" spans="1:23" x14ac:dyDescent="0.2">
      <c r="J31" t="s">
        <v>192</v>
      </c>
      <c r="K31" t="s">
        <v>193</v>
      </c>
      <c r="L31">
        <v>2001</v>
      </c>
      <c r="M31">
        <v>5.6090000000000001E-2</v>
      </c>
      <c r="N31">
        <v>3.8719999999999997E-2</v>
      </c>
      <c r="O31">
        <v>0</v>
      </c>
      <c r="P31">
        <v>0</v>
      </c>
      <c r="Q31">
        <v>0.94391000000000003</v>
      </c>
      <c r="R31">
        <v>3.8719999999999997E-2</v>
      </c>
      <c r="S31">
        <v>54</v>
      </c>
    </row>
    <row r="32" spans="1:23" x14ac:dyDescent="0.2">
      <c r="J32" t="s">
        <v>192</v>
      </c>
      <c r="K32" t="s">
        <v>193</v>
      </c>
      <c r="L32">
        <v>2002</v>
      </c>
      <c r="M32">
        <v>4.7079999999999997E-2</v>
      </c>
      <c r="N32">
        <v>3.2500000000000001E-2</v>
      </c>
      <c r="O32">
        <v>2.2689999999999998E-2</v>
      </c>
      <c r="P32">
        <v>2.2429999999999999E-2</v>
      </c>
      <c r="Q32">
        <v>0.93023</v>
      </c>
      <c r="R32">
        <v>3.8850000000000003E-2</v>
      </c>
      <c r="S32">
        <v>55</v>
      </c>
    </row>
    <row r="33" spans="10:19" x14ac:dyDescent="0.2">
      <c r="J33" t="s">
        <v>192</v>
      </c>
      <c r="K33" t="s">
        <v>193</v>
      </c>
      <c r="L33">
        <v>2003</v>
      </c>
      <c r="M33">
        <v>0.13447000000000001</v>
      </c>
      <c r="N33">
        <v>5.6460000000000003E-2</v>
      </c>
      <c r="O33">
        <v>2.5000000000000001E-2</v>
      </c>
      <c r="P33">
        <v>2.469E-2</v>
      </c>
      <c r="Q33">
        <v>0.84053</v>
      </c>
      <c r="R33">
        <v>6.0240000000000002E-2</v>
      </c>
      <c r="S33">
        <v>40</v>
      </c>
    </row>
    <row r="34" spans="10:19" x14ac:dyDescent="0.2">
      <c r="J34" t="s">
        <v>192</v>
      </c>
      <c r="K34" t="s">
        <v>193</v>
      </c>
      <c r="L34">
        <v>2004</v>
      </c>
      <c r="M34">
        <v>0</v>
      </c>
      <c r="N34">
        <v>0</v>
      </c>
      <c r="O34">
        <v>0</v>
      </c>
      <c r="P34">
        <v>0</v>
      </c>
      <c r="Q34">
        <v>1</v>
      </c>
      <c r="R34">
        <v>0</v>
      </c>
      <c r="S34">
        <v>39</v>
      </c>
    </row>
    <row r="35" spans="10:19" x14ac:dyDescent="0.2">
      <c r="J35" t="s">
        <v>192</v>
      </c>
      <c r="K35" t="s">
        <v>193</v>
      </c>
      <c r="L35">
        <v>2005</v>
      </c>
      <c r="M35">
        <v>1.754E-2</v>
      </c>
      <c r="N35">
        <v>1.7389999999999999E-2</v>
      </c>
      <c r="O35">
        <v>0</v>
      </c>
      <c r="P35">
        <v>0</v>
      </c>
      <c r="Q35">
        <v>0.98246</v>
      </c>
      <c r="R35">
        <v>1.7389999999999999E-2</v>
      </c>
      <c r="S35">
        <v>60</v>
      </c>
    </row>
    <row r="36" spans="10:19" x14ac:dyDescent="0.2">
      <c r="J36" t="s">
        <v>192</v>
      </c>
      <c r="K36" t="s">
        <v>193</v>
      </c>
      <c r="L36">
        <v>2006</v>
      </c>
      <c r="M36">
        <v>6.1370000000000001E-2</v>
      </c>
      <c r="N36">
        <v>3.4369999999999998E-2</v>
      </c>
      <c r="O36">
        <v>0</v>
      </c>
      <c r="P36">
        <v>0</v>
      </c>
      <c r="Q36">
        <v>0.93862999999999996</v>
      </c>
      <c r="R36">
        <v>3.4369999999999998E-2</v>
      </c>
      <c r="S36">
        <v>52</v>
      </c>
    </row>
    <row r="37" spans="10:19" x14ac:dyDescent="0.2">
      <c r="J37" t="s">
        <v>192</v>
      </c>
      <c r="K37" t="s">
        <v>193</v>
      </c>
      <c r="L37">
        <v>2007</v>
      </c>
      <c r="M37">
        <v>9.6769999999999995E-2</v>
      </c>
      <c r="N37">
        <v>5.3100000000000001E-2</v>
      </c>
      <c r="O37">
        <v>0</v>
      </c>
      <c r="P37">
        <v>0</v>
      </c>
      <c r="Q37">
        <v>0.90322999999999998</v>
      </c>
      <c r="R37">
        <v>5.3100000000000001E-2</v>
      </c>
      <c r="S37">
        <v>35</v>
      </c>
    </row>
    <row r="38" spans="10:19" x14ac:dyDescent="0.2">
      <c r="J38" t="s">
        <v>192</v>
      </c>
      <c r="K38" t="s">
        <v>193</v>
      </c>
      <c r="L38">
        <v>2011</v>
      </c>
      <c r="M38">
        <v>9.6229999999999996E-2</v>
      </c>
      <c r="N38">
        <v>5.3319999999999999E-2</v>
      </c>
      <c r="O38">
        <v>3.5709999999999999E-2</v>
      </c>
      <c r="P38">
        <v>3.5069999999999997E-2</v>
      </c>
      <c r="Q38">
        <v>0.86806000000000005</v>
      </c>
      <c r="R38">
        <v>6.1870000000000001E-2</v>
      </c>
      <c r="S38">
        <v>40</v>
      </c>
    </row>
    <row r="39" spans="10:19" x14ac:dyDescent="0.2">
      <c r="J39" t="s">
        <v>192</v>
      </c>
      <c r="K39" t="s">
        <v>193</v>
      </c>
      <c r="L39">
        <v>2012</v>
      </c>
      <c r="M39">
        <v>0</v>
      </c>
      <c r="N39">
        <v>0</v>
      </c>
      <c r="O39">
        <v>0</v>
      </c>
      <c r="P39">
        <v>0</v>
      </c>
      <c r="Q39">
        <v>1</v>
      </c>
      <c r="R39">
        <v>0</v>
      </c>
      <c r="S39">
        <v>49</v>
      </c>
    </row>
    <row r="40" spans="10:19" x14ac:dyDescent="0.2">
      <c r="J40" t="s">
        <v>192</v>
      </c>
      <c r="K40" t="s">
        <v>193</v>
      </c>
      <c r="L40">
        <v>2013</v>
      </c>
      <c r="M40">
        <v>0</v>
      </c>
      <c r="N40">
        <v>0</v>
      </c>
      <c r="O40">
        <v>0</v>
      </c>
      <c r="P40">
        <v>0</v>
      </c>
      <c r="Q40">
        <v>1</v>
      </c>
      <c r="R40">
        <v>0</v>
      </c>
      <c r="S40">
        <v>61</v>
      </c>
    </row>
    <row r="41" spans="10:19" x14ac:dyDescent="0.2">
      <c r="J41" t="s">
        <v>192</v>
      </c>
      <c r="K41" t="s">
        <v>193</v>
      </c>
      <c r="L41">
        <v>2014</v>
      </c>
      <c r="M41">
        <v>0</v>
      </c>
      <c r="N41">
        <v>0</v>
      </c>
      <c r="O41">
        <v>0</v>
      </c>
      <c r="P41">
        <v>0</v>
      </c>
      <c r="Q41">
        <v>1</v>
      </c>
      <c r="R41">
        <v>0</v>
      </c>
      <c r="S41">
        <v>72</v>
      </c>
    </row>
    <row r="42" spans="10:19" x14ac:dyDescent="0.2">
      <c r="J42" t="s">
        <v>192</v>
      </c>
      <c r="K42" t="s">
        <v>193</v>
      </c>
      <c r="L42">
        <v>2015</v>
      </c>
      <c r="M42">
        <v>0</v>
      </c>
      <c r="N42">
        <v>0</v>
      </c>
      <c r="O42">
        <v>0</v>
      </c>
      <c r="P42">
        <v>0</v>
      </c>
      <c r="Q42">
        <v>1</v>
      </c>
      <c r="R42">
        <v>0</v>
      </c>
      <c r="S42">
        <v>83</v>
      </c>
    </row>
    <row r="43" spans="10:19" x14ac:dyDescent="0.2">
      <c r="J43" t="s">
        <v>192</v>
      </c>
      <c r="K43" t="s">
        <v>193</v>
      </c>
      <c r="L43">
        <v>2016</v>
      </c>
      <c r="M43">
        <v>2.8170000000000001E-2</v>
      </c>
      <c r="N43">
        <v>1.9640000000000001E-2</v>
      </c>
      <c r="O43">
        <v>2.758E-2</v>
      </c>
      <c r="P43">
        <v>1.9230000000000001E-2</v>
      </c>
      <c r="Q43">
        <v>0.94425000000000003</v>
      </c>
      <c r="R43">
        <v>2.7089999999999999E-2</v>
      </c>
      <c r="S43">
        <v>77</v>
      </c>
    </row>
    <row r="44" spans="10:19" x14ac:dyDescent="0.2">
      <c r="J44" t="s">
        <v>194</v>
      </c>
      <c r="K44" t="s">
        <v>195</v>
      </c>
      <c r="L44">
        <v>2000</v>
      </c>
      <c r="M44">
        <v>0.2</v>
      </c>
      <c r="N44">
        <v>0.12648999999999999</v>
      </c>
      <c r="O44">
        <v>0.1</v>
      </c>
      <c r="P44">
        <v>9.4869999999999996E-2</v>
      </c>
      <c r="Q44">
        <v>0.7</v>
      </c>
      <c r="R44">
        <v>0.14491000000000001</v>
      </c>
      <c r="S44">
        <v>10</v>
      </c>
    </row>
    <row r="45" spans="10:19" x14ac:dyDescent="0.2">
      <c r="J45" t="s">
        <v>194</v>
      </c>
      <c r="K45" t="s">
        <v>195</v>
      </c>
      <c r="L45">
        <v>2001</v>
      </c>
      <c r="M45">
        <v>0.125</v>
      </c>
      <c r="N45">
        <v>0.11693000000000001</v>
      </c>
      <c r="O45">
        <v>0</v>
      </c>
      <c r="P45">
        <v>0</v>
      </c>
      <c r="Q45">
        <v>0.875</v>
      </c>
      <c r="R45">
        <v>0.11693000000000001</v>
      </c>
      <c r="S45">
        <v>12</v>
      </c>
    </row>
    <row r="46" spans="10:19" x14ac:dyDescent="0.2">
      <c r="J46" t="s">
        <v>194</v>
      </c>
      <c r="K46" t="s">
        <v>195</v>
      </c>
      <c r="L46">
        <v>2002</v>
      </c>
      <c r="M46">
        <v>0.2</v>
      </c>
      <c r="N46">
        <v>0.12648999999999999</v>
      </c>
      <c r="O46">
        <v>0.28571000000000002</v>
      </c>
      <c r="P46">
        <v>0.14174999999999999</v>
      </c>
      <c r="Q46">
        <v>0.51429000000000002</v>
      </c>
      <c r="R46">
        <v>0.15705</v>
      </c>
      <c r="S46">
        <v>15</v>
      </c>
    </row>
    <row r="47" spans="10:19" x14ac:dyDescent="0.2">
      <c r="J47" t="s">
        <v>194</v>
      </c>
      <c r="K47" t="s">
        <v>195</v>
      </c>
      <c r="L47">
        <v>2003</v>
      </c>
      <c r="M47">
        <v>0.2</v>
      </c>
      <c r="N47">
        <v>0.12648999999999999</v>
      </c>
      <c r="O47">
        <v>0.2</v>
      </c>
      <c r="P47">
        <v>0.12648999999999999</v>
      </c>
      <c r="Q47">
        <v>0.6</v>
      </c>
      <c r="R47">
        <v>0.15492</v>
      </c>
      <c r="S47">
        <v>10</v>
      </c>
    </row>
    <row r="48" spans="10:19" x14ac:dyDescent="0.2">
      <c r="J48" t="s">
        <v>194</v>
      </c>
      <c r="K48" t="s">
        <v>195</v>
      </c>
      <c r="L48">
        <v>2004</v>
      </c>
      <c r="M48">
        <v>0.46666999999999997</v>
      </c>
      <c r="N48">
        <v>0.19475000000000001</v>
      </c>
      <c r="O48">
        <v>0</v>
      </c>
      <c r="P48">
        <v>0</v>
      </c>
      <c r="Q48">
        <v>0.53332999999999997</v>
      </c>
      <c r="R48">
        <v>0.19475000000000001</v>
      </c>
      <c r="S48">
        <v>7</v>
      </c>
    </row>
    <row r="49" spans="10:19" x14ac:dyDescent="0.2">
      <c r="J49" t="s">
        <v>194</v>
      </c>
      <c r="K49" t="s">
        <v>195</v>
      </c>
      <c r="L49">
        <v>2005</v>
      </c>
      <c r="M49">
        <v>0</v>
      </c>
      <c r="N49">
        <v>0</v>
      </c>
      <c r="O49">
        <v>0.26530999999999999</v>
      </c>
      <c r="P49">
        <v>0.16031999999999999</v>
      </c>
      <c r="Q49">
        <v>1</v>
      </c>
      <c r="R49">
        <v>0.16031999999999999</v>
      </c>
      <c r="S49">
        <v>8</v>
      </c>
    </row>
    <row r="50" spans="10:19" x14ac:dyDescent="0.2">
      <c r="J50" t="s">
        <v>194</v>
      </c>
      <c r="K50" t="s">
        <v>195</v>
      </c>
      <c r="L50">
        <v>2006</v>
      </c>
      <c r="M50">
        <v>0</v>
      </c>
      <c r="N50">
        <v>0</v>
      </c>
      <c r="O50">
        <v>0.1</v>
      </c>
      <c r="P50">
        <v>9.4869999999999996E-2</v>
      </c>
      <c r="Q50">
        <v>1</v>
      </c>
      <c r="R50">
        <v>9.4869999999999996E-2</v>
      </c>
      <c r="S50">
        <v>10</v>
      </c>
    </row>
    <row r="51" spans="10:19" x14ac:dyDescent="0.2">
      <c r="J51" t="s">
        <v>194</v>
      </c>
      <c r="K51" t="s">
        <v>195</v>
      </c>
      <c r="L51">
        <v>2007</v>
      </c>
      <c r="M51">
        <v>0.20879</v>
      </c>
      <c r="N51">
        <v>0.13754</v>
      </c>
      <c r="O51">
        <v>0.15823999999999999</v>
      </c>
      <c r="P51">
        <v>0.14418</v>
      </c>
      <c r="Q51">
        <v>0.63297000000000003</v>
      </c>
      <c r="R51">
        <v>0.17927999999999999</v>
      </c>
      <c r="S51">
        <v>16</v>
      </c>
    </row>
    <row r="52" spans="10:19" x14ac:dyDescent="0.2">
      <c r="J52" t="s">
        <v>194</v>
      </c>
      <c r="K52" t="s">
        <v>195</v>
      </c>
      <c r="L52">
        <v>2011</v>
      </c>
      <c r="M52">
        <v>0.24167</v>
      </c>
      <c r="N52">
        <v>0.10503999999999999</v>
      </c>
      <c r="O52">
        <v>0</v>
      </c>
      <c r="P52">
        <v>0</v>
      </c>
      <c r="Q52">
        <v>0.75832999999999995</v>
      </c>
      <c r="R52">
        <v>0.10503999999999999</v>
      </c>
      <c r="S52">
        <v>19</v>
      </c>
    </row>
    <row r="53" spans="10:19" x14ac:dyDescent="0.2">
      <c r="J53" t="s">
        <v>194</v>
      </c>
      <c r="K53" t="s">
        <v>195</v>
      </c>
      <c r="L53">
        <v>2012</v>
      </c>
      <c r="M53">
        <v>0.15789</v>
      </c>
      <c r="N53">
        <v>8.3650000000000002E-2</v>
      </c>
      <c r="O53">
        <v>0</v>
      </c>
      <c r="P53">
        <v>0</v>
      </c>
      <c r="Q53">
        <v>0.84211000000000003</v>
      </c>
      <c r="R53">
        <v>8.3650000000000002E-2</v>
      </c>
      <c r="S53">
        <v>19</v>
      </c>
    </row>
    <row r="54" spans="10:19" x14ac:dyDescent="0.2">
      <c r="J54" t="s">
        <v>194</v>
      </c>
      <c r="K54" t="s">
        <v>195</v>
      </c>
      <c r="L54">
        <v>2013</v>
      </c>
      <c r="M54">
        <v>0.26316000000000001</v>
      </c>
      <c r="N54">
        <v>0.10102</v>
      </c>
      <c r="O54">
        <v>5.2630000000000003E-2</v>
      </c>
      <c r="P54">
        <v>5.1229999999999998E-2</v>
      </c>
      <c r="Q54">
        <v>0.68420999999999998</v>
      </c>
      <c r="R54">
        <v>0.10664</v>
      </c>
      <c r="S54">
        <v>19</v>
      </c>
    </row>
    <row r="55" spans="10:19" x14ac:dyDescent="0.2">
      <c r="J55" t="s">
        <v>194</v>
      </c>
      <c r="K55" t="s">
        <v>195</v>
      </c>
      <c r="L55">
        <v>2014</v>
      </c>
      <c r="M55">
        <v>0.18667</v>
      </c>
      <c r="N55">
        <v>9.7250000000000003E-2</v>
      </c>
      <c r="O55">
        <v>0.17333000000000001</v>
      </c>
      <c r="P55">
        <v>9.1209999999999999E-2</v>
      </c>
      <c r="Q55">
        <v>0.64</v>
      </c>
      <c r="R55">
        <v>0.11685</v>
      </c>
      <c r="S55">
        <v>20</v>
      </c>
    </row>
    <row r="56" spans="10:19" x14ac:dyDescent="0.2">
      <c r="J56" t="s">
        <v>194</v>
      </c>
      <c r="K56" t="s">
        <v>195</v>
      </c>
      <c r="L56">
        <v>2015</v>
      </c>
      <c r="M56">
        <v>0.10999</v>
      </c>
      <c r="N56">
        <v>7.3419999999999999E-2</v>
      </c>
      <c r="O56">
        <v>0.19458</v>
      </c>
      <c r="P56">
        <v>8.7480000000000002E-2</v>
      </c>
      <c r="Q56">
        <v>0.69542000000000004</v>
      </c>
      <c r="R56">
        <v>0.10403</v>
      </c>
      <c r="S56">
        <v>25</v>
      </c>
    </row>
    <row r="57" spans="10:19" x14ac:dyDescent="0.2">
      <c r="J57" t="s">
        <v>194</v>
      </c>
      <c r="K57" t="s">
        <v>195</v>
      </c>
      <c r="L57">
        <v>2016</v>
      </c>
      <c r="M57">
        <v>0.17279</v>
      </c>
      <c r="N57">
        <v>9.0950000000000003E-2</v>
      </c>
      <c r="O57">
        <v>0.11029</v>
      </c>
      <c r="P57">
        <v>7.3969999999999994E-2</v>
      </c>
      <c r="Q57">
        <v>0.71691000000000005</v>
      </c>
      <c r="R57">
        <v>0.10698000000000001</v>
      </c>
      <c r="S57">
        <v>21</v>
      </c>
    </row>
  </sheetData>
  <mergeCells count="2">
    <mergeCell ref="K1:P1"/>
    <mergeCell ref="J28:S28"/>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B551E-031D-4344-8A22-58A119DBF2BA}">
  <sheetPr>
    <tabColor theme="8" tint="0.59999389629810485"/>
  </sheetPr>
  <dimension ref="B2:AC98"/>
  <sheetViews>
    <sheetView workbookViewId="0">
      <selection activeCell="D27" sqref="D27"/>
    </sheetView>
  </sheetViews>
  <sheetFormatPr baseColWidth="10" defaultRowHeight="16" x14ac:dyDescent="0.2"/>
  <cols>
    <col min="2" max="2" width="14.83203125" bestFit="1" customWidth="1"/>
  </cols>
  <sheetData>
    <row r="2" spans="2:29" x14ac:dyDescent="0.2">
      <c r="C2" s="55" t="s">
        <v>197</v>
      </c>
      <c r="D2" s="55"/>
      <c r="V2" s="55" t="s">
        <v>198</v>
      </c>
      <c r="W2" s="55"/>
      <c r="X2" s="55"/>
    </row>
    <row r="3" spans="2:29" x14ac:dyDescent="0.2">
      <c r="B3" t="s">
        <v>83</v>
      </c>
      <c r="C3" s="8">
        <v>1995</v>
      </c>
      <c r="D3" s="8">
        <v>1996</v>
      </c>
      <c r="E3" s="8">
        <v>1997</v>
      </c>
      <c r="F3" s="8">
        <v>1998</v>
      </c>
      <c r="G3" s="8">
        <v>1999</v>
      </c>
      <c r="H3" s="8">
        <v>2000</v>
      </c>
      <c r="I3" s="8">
        <v>2001</v>
      </c>
      <c r="J3" s="8">
        <v>2002</v>
      </c>
      <c r="K3" s="8">
        <v>2003</v>
      </c>
      <c r="L3" s="8">
        <v>2004</v>
      </c>
      <c r="M3" s="8">
        <v>2005</v>
      </c>
      <c r="N3" s="8">
        <v>2006</v>
      </c>
      <c r="O3" s="8">
        <v>2007</v>
      </c>
      <c r="P3" s="8">
        <v>2008</v>
      </c>
      <c r="Q3" s="8">
        <v>2009</v>
      </c>
      <c r="R3" s="8">
        <v>2010</v>
      </c>
      <c r="S3" s="8">
        <v>2011</v>
      </c>
      <c r="T3" s="8">
        <v>2012</v>
      </c>
      <c r="U3" s="8">
        <v>2013</v>
      </c>
      <c r="V3" s="56">
        <v>2014</v>
      </c>
      <c r="W3" s="56">
        <v>2015</v>
      </c>
      <c r="X3" s="56">
        <v>2016</v>
      </c>
      <c r="Y3" s="56">
        <v>2017</v>
      </c>
      <c r="Z3" s="56">
        <v>2018</v>
      </c>
      <c r="AA3" s="56">
        <v>2019</v>
      </c>
      <c r="AB3" s="56">
        <v>2020</v>
      </c>
      <c r="AC3" s="56">
        <v>2021</v>
      </c>
    </row>
    <row r="4" spans="2:29" x14ac:dyDescent="0.2">
      <c r="B4" s="8">
        <v>1</v>
      </c>
      <c r="C4" s="6">
        <v>195.13</v>
      </c>
      <c r="D4" s="6">
        <v>175.04648390941597</v>
      </c>
      <c r="E4" s="6">
        <v>169.31308411214954</v>
      </c>
      <c r="F4" s="6">
        <v>57.443349753694584</v>
      </c>
      <c r="G4" s="6">
        <v>125.55041628122109</v>
      </c>
      <c r="H4" s="6">
        <v>91.122641509433961</v>
      </c>
      <c r="I4" s="6">
        <v>131.41654978962131</v>
      </c>
      <c r="J4" s="6">
        <v>107.568345323741</v>
      </c>
      <c r="K4" s="6">
        <v>32.603911980440095</v>
      </c>
      <c r="L4" s="6">
        <v>43.877094972067042</v>
      </c>
      <c r="M4" s="6">
        <v>26.141843971631204</v>
      </c>
      <c r="N4" s="6">
        <v>19.288888888888891</v>
      </c>
      <c r="O4" s="6">
        <v>0</v>
      </c>
      <c r="P4" s="6">
        <v>5.4489795918367347</v>
      </c>
      <c r="Q4" s="6">
        <v>0</v>
      </c>
      <c r="R4" s="6">
        <v>10.453436648517735</v>
      </c>
      <c r="S4" s="6">
        <v>7.5300179247797256</v>
      </c>
      <c r="T4" s="6">
        <v>5.4038952166066263</v>
      </c>
      <c r="U4" s="6">
        <v>1.5945920311298241</v>
      </c>
      <c r="V4" s="6">
        <v>1.7950180808695777</v>
      </c>
      <c r="W4" s="6">
        <v>2.5293436594071323</v>
      </c>
      <c r="X4" s="6">
        <v>3.0188940450988353</v>
      </c>
      <c r="Y4" s="6">
        <v>4.2427700093280931</v>
      </c>
      <c r="Z4" s="6">
        <v>4.8139121259684128</v>
      </c>
      <c r="AA4" s="6">
        <v>6.5273384758893744</v>
      </c>
      <c r="AB4" s="6">
        <v>6.8537053996838422</v>
      </c>
      <c r="AC4" s="6">
        <v>6.4457467449407559</v>
      </c>
    </row>
    <row r="5" spans="2:29" x14ac:dyDescent="0.2">
      <c r="B5" s="8">
        <v>2</v>
      </c>
      <c r="C5" s="6">
        <v>285.19000000000005</v>
      </c>
      <c r="D5" s="6">
        <v>94.054827175208587</v>
      </c>
      <c r="E5" s="6">
        <v>173.76869158878503</v>
      </c>
      <c r="F5" s="6">
        <v>51.199507389162562</v>
      </c>
      <c r="G5" s="6">
        <v>79.676225716928769</v>
      </c>
      <c r="H5" s="6">
        <v>44.860377358490567</v>
      </c>
      <c r="I5" s="6">
        <v>56.509116409537171</v>
      </c>
      <c r="J5" s="6">
        <v>53.7841726618705</v>
      </c>
      <c r="K5" s="6">
        <v>52.787286063569681</v>
      </c>
      <c r="L5" s="6">
        <v>26.639664804469273</v>
      </c>
      <c r="M5" s="6">
        <v>28.893617021276597</v>
      </c>
      <c r="N5" s="6">
        <v>16.533333333333331</v>
      </c>
      <c r="O5" s="6">
        <v>7.4</v>
      </c>
      <c r="P5" s="6">
        <v>5.4489795918367347</v>
      </c>
      <c r="Q5" s="6">
        <v>6.629032258064516</v>
      </c>
      <c r="R5" s="6">
        <v>9.2378108666649581</v>
      </c>
      <c r="S5" s="6">
        <v>6.6543552853095038</v>
      </c>
      <c r="T5" s="6">
        <v>4.7754784988691732</v>
      </c>
      <c r="U5" s="6">
        <v>1.4091575898302477</v>
      </c>
      <c r="V5" s="6">
        <v>1.5862761779561119</v>
      </c>
      <c r="W5" s="6">
        <v>2.2352073416654306</v>
      </c>
      <c r="X5" s="6">
        <v>2.6678281174716427</v>
      </c>
      <c r="Y5" s="6">
        <v>3.749380056987174</v>
      </c>
      <c r="Z5" s="6">
        <v>4.254104295427755</v>
      </c>
      <c r="AA5" s="6">
        <v>5.7682770107494985</v>
      </c>
      <c r="AB5" s="6">
        <v>6.056690861286973</v>
      </c>
      <c r="AC5" s="6">
        <v>5.6961735481151292</v>
      </c>
    </row>
    <row r="6" spans="2:29" x14ac:dyDescent="0.2">
      <c r="B6" s="8">
        <v>3</v>
      </c>
      <c r="C6" s="6">
        <v>190.12666666666667</v>
      </c>
      <c r="D6" s="6">
        <v>117.56853396901073</v>
      </c>
      <c r="E6" s="6">
        <v>233.91939252336448</v>
      </c>
      <c r="F6" s="6">
        <v>157.34482758620689</v>
      </c>
      <c r="G6" s="6">
        <v>119.51433857539315</v>
      </c>
      <c r="H6" s="6">
        <v>49.066037735849058</v>
      </c>
      <c r="I6" s="6">
        <v>70.96493688639552</v>
      </c>
      <c r="J6" s="6">
        <v>81.956834532374103</v>
      </c>
      <c r="K6" s="6">
        <v>45.024449877750612</v>
      </c>
      <c r="L6" s="6">
        <v>57.980446927374302</v>
      </c>
      <c r="M6" s="6">
        <v>31.645390070921987</v>
      </c>
      <c r="N6" s="6">
        <v>11.022222222222222</v>
      </c>
      <c r="O6" s="6">
        <v>12.333333333333332</v>
      </c>
      <c r="P6" s="6">
        <v>9.0816326530612237</v>
      </c>
      <c r="Q6" s="6">
        <v>15.46774193548387</v>
      </c>
      <c r="R6" s="6">
        <v>11.862747518477303</v>
      </c>
      <c r="S6" s="6">
        <v>8.5451994836489042</v>
      </c>
      <c r="T6" s="6">
        <v>6.132437276500978</v>
      </c>
      <c r="U6" s="6">
        <v>1.8095716553609444</v>
      </c>
      <c r="V6" s="6">
        <v>2.0370187336885874</v>
      </c>
      <c r="W6" s="6">
        <v>2.8703445792884645</v>
      </c>
      <c r="X6" s="6">
        <v>3.4258951430217155</v>
      </c>
      <c r="Y6" s="6">
        <v>4.814771552354844</v>
      </c>
      <c r="Z6" s="6">
        <v>5.4629138767103029</v>
      </c>
      <c r="AA6" s="6">
        <v>7.4073408497766833</v>
      </c>
      <c r="AB6" s="6">
        <v>7.777707892265517</v>
      </c>
      <c r="AC6" s="6">
        <v>7.3147490891544731</v>
      </c>
    </row>
    <row r="7" spans="2:29" x14ac:dyDescent="0.2">
      <c r="B7" s="8">
        <v>4</v>
      </c>
      <c r="C7" s="6">
        <v>190.12666666666667</v>
      </c>
      <c r="D7" s="6">
        <v>129.32538736591181</v>
      </c>
      <c r="E7" s="6">
        <v>226.12207943925233</v>
      </c>
      <c r="F7" s="6">
        <v>116.13546798029557</v>
      </c>
      <c r="G7" s="6">
        <v>172.631822386679</v>
      </c>
      <c r="H7" s="6">
        <v>63.084905660377359</v>
      </c>
      <c r="I7" s="6">
        <v>47.309957924263671</v>
      </c>
      <c r="J7" s="6">
        <v>70.431654676258987</v>
      </c>
      <c r="K7" s="6">
        <v>52.787286063569681</v>
      </c>
      <c r="L7" s="6">
        <v>51.712290502793294</v>
      </c>
      <c r="M7" s="6">
        <v>41.276595744680847</v>
      </c>
      <c r="N7" s="6">
        <v>8.2666666666666657</v>
      </c>
      <c r="O7" s="6">
        <v>4.9333333333333336</v>
      </c>
      <c r="P7" s="6">
        <v>9.0816326530612237</v>
      </c>
      <c r="Q7" s="6">
        <v>15.46774193548387</v>
      </c>
      <c r="R7" s="6">
        <v>11.267707602559101</v>
      </c>
      <c r="S7" s="6">
        <v>8.1165690357417262</v>
      </c>
      <c r="T7" s="6">
        <v>5.8248318962381793</v>
      </c>
      <c r="U7" s="6">
        <v>1.7188028546276595</v>
      </c>
      <c r="V7" s="6">
        <v>1.9348411012193902</v>
      </c>
      <c r="W7" s="6">
        <v>2.7263670062636862</v>
      </c>
      <c r="X7" s="6">
        <v>3.2540509429598834</v>
      </c>
      <c r="Y7" s="6">
        <v>4.573260784700377</v>
      </c>
      <c r="Z7" s="6">
        <v>5.1888920441792736</v>
      </c>
      <c r="AA7" s="6">
        <v>7.0357858226159653</v>
      </c>
      <c r="AB7" s="6">
        <v>7.3875751137467631</v>
      </c>
      <c r="AC7" s="6">
        <v>6.9478384998332645</v>
      </c>
    </row>
    <row r="8" spans="2:29" x14ac:dyDescent="0.2">
      <c r="B8" s="8">
        <v>5</v>
      </c>
      <c r="C8" s="6">
        <v>190.12666666666667</v>
      </c>
      <c r="D8" s="6">
        <v>104.50536352800954</v>
      </c>
      <c r="E8" s="6">
        <v>208.29964953271028</v>
      </c>
      <c r="F8" s="6">
        <v>106.14532019704433</v>
      </c>
      <c r="G8" s="6">
        <v>142.45143385753931</v>
      </c>
      <c r="H8" s="6">
        <v>93.926415094339617</v>
      </c>
      <c r="I8" s="6">
        <v>72.279102384291718</v>
      </c>
      <c r="J8" s="6">
        <v>62.748201438848923</v>
      </c>
      <c r="K8" s="6">
        <v>45.024449877750612</v>
      </c>
      <c r="L8" s="6">
        <v>37.608938547486034</v>
      </c>
      <c r="M8" s="6">
        <v>26.141843971631204</v>
      </c>
      <c r="N8" s="6">
        <v>11.022222222222222</v>
      </c>
      <c r="O8" s="6">
        <v>7.4</v>
      </c>
      <c r="P8" s="6">
        <v>7.2653061224489797</v>
      </c>
      <c r="Q8" s="6">
        <v>13.258064516129032</v>
      </c>
      <c r="R8" s="6">
        <v>10.686275244461271</v>
      </c>
      <c r="S8" s="6">
        <v>7.6977406421966785</v>
      </c>
      <c r="T8" s="6">
        <v>5.5242609314587927</v>
      </c>
      <c r="U8" s="6">
        <v>1.6301097830534144</v>
      </c>
      <c r="V8" s="6">
        <v>1.835000098620859</v>
      </c>
      <c r="W8" s="6">
        <v>2.5856819571475742</v>
      </c>
      <c r="X8" s="6">
        <v>3.0861365294987175</v>
      </c>
      <c r="Y8" s="6">
        <v>4.3372729603765761</v>
      </c>
      <c r="Z8" s="6">
        <v>4.9211366281195765</v>
      </c>
      <c r="AA8" s="6">
        <v>6.6727276313485797</v>
      </c>
      <c r="AB8" s="6">
        <v>7.0063640129160074</v>
      </c>
      <c r="AC8" s="6">
        <v>6.5893185359567212</v>
      </c>
    </row>
    <row r="9" spans="2:29" x14ac:dyDescent="0.2">
      <c r="B9" s="8">
        <v>6</v>
      </c>
      <c r="C9" s="6">
        <v>75.05</v>
      </c>
      <c r="D9" s="6">
        <v>60.090584028605484</v>
      </c>
      <c r="E9" s="6">
        <v>198.27453271028037</v>
      </c>
      <c r="F9" s="6">
        <v>116.13546798029557</v>
      </c>
      <c r="G9" s="6">
        <v>121.92876965772433</v>
      </c>
      <c r="H9" s="6">
        <v>50.467924528301886</v>
      </c>
      <c r="I9" s="6">
        <v>101.19074333800842</v>
      </c>
      <c r="J9" s="6">
        <v>57.625899280575538</v>
      </c>
      <c r="K9" s="6">
        <v>24.841075794621027</v>
      </c>
      <c r="L9" s="6">
        <v>43.877094972067042</v>
      </c>
      <c r="M9" s="6">
        <v>13.75886524822695</v>
      </c>
      <c r="N9" s="6">
        <v>2.7555555555555555</v>
      </c>
      <c r="O9" s="6">
        <v>7.4</v>
      </c>
      <c r="P9" s="6">
        <v>5.4489795918367347</v>
      </c>
      <c r="Q9" s="6">
        <v>8.8387096774193559</v>
      </c>
      <c r="R9" s="6">
        <v>8.0621759901325056</v>
      </c>
      <c r="S9" s="6">
        <v>5.8074996539090087</v>
      </c>
      <c r="T9" s="6">
        <v>4.1677350457464648</v>
      </c>
      <c r="U9" s="6">
        <v>1.2298234561219077</v>
      </c>
      <c r="V9" s="6">
        <v>1.3844013370944841</v>
      </c>
      <c r="W9" s="6">
        <v>1.9507473386331371</v>
      </c>
      <c r="X9" s="6">
        <v>2.3283113396589052</v>
      </c>
      <c r="Y9" s="6">
        <v>3.2722213422233266</v>
      </c>
      <c r="Z9" s="6">
        <v>3.7127126767533896</v>
      </c>
      <c r="AA9" s="6">
        <v>5.0341866803435797</v>
      </c>
      <c r="AB9" s="6">
        <v>5.2858960143607581</v>
      </c>
      <c r="AC9" s="6">
        <v>4.9712593468392843</v>
      </c>
    </row>
    <row r="10" spans="2:29" x14ac:dyDescent="0.2">
      <c r="B10" s="8">
        <v>7</v>
      </c>
      <c r="C10" s="6">
        <v>75.05</v>
      </c>
      <c r="D10" s="6">
        <v>43.108462455303936</v>
      </c>
      <c r="E10" s="6">
        <v>135.89602803738319</v>
      </c>
      <c r="F10" s="6">
        <v>96.15517241379311</v>
      </c>
      <c r="G10" s="6">
        <v>109.85661424606846</v>
      </c>
      <c r="H10" s="6">
        <v>57.477358490566033</v>
      </c>
      <c r="I10" s="6">
        <v>85.420757363253855</v>
      </c>
      <c r="J10" s="6">
        <v>94.762589928057551</v>
      </c>
      <c r="K10" s="6">
        <v>37.261613691931544</v>
      </c>
      <c r="L10" s="6">
        <v>15.670391061452513</v>
      </c>
      <c r="M10" s="6">
        <v>8.2553191489361701</v>
      </c>
      <c r="N10" s="6">
        <v>16.533333333333331</v>
      </c>
      <c r="O10" s="6">
        <v>9.8666666666666671</v>
      </c>
      <c r="P10" s="6">
        <v>3.6326530612244898</v>
      </c>
      <c r="Q10" s="6">
        <v>13.258064516129032</v>
      </c>
      <c r="R10" s="6">
        <v>8.5141132549414706</v>
      </c>
      <c r="S10" s="6">
        <v>6.1330476836442793</v>
      </c>
      <c r="T10" s="6">
        <v>4.401363631791777</v>
      </c>
      <c r="U10" s="6">
        <v>1.2987630388893769</v>
      </c>
      <c r="V10" s="6">
        <v>1.462006012860694</v>
      </c>
      <c r="W10" s="6">
        <v>2.0600993817582509</v>
      </c>
      <c r="X10" s="6">
        <v>2.4588282943566218</v>
      </c>
      <c r="Y10" s="6">
        <v>3.45565057585255</v>
      </c>
      <c r="Z10" s="6">
        <v>3.9208343072173162</v>
      </c>
      <c r="AA10" s="6">
        <v>5.3163855013116157</v>
      </c>
      <c r="AB10" s="6">
        <v>5.5822047763771963</v>
      </c>
      <c r="AC10" s="6">
        <v>5.2499306825452194</v>
      </c>
    </row>
    <row r="11" spans="2:29" x14ac:dyDescent="0.2">
      <c r="B11" s="8">
        <v>8</v>
      </c>
      <c r="C11" s="6">
        <v>75.05</v>
      </c>
      <c r="D11" s="6">
        <v>74.460071513706794</v>
      </c>
      <c r="E11" s="6">
        <v>51.239485981308412</v>
      </c>
      <c r="F11" s="6">
        <v>53.697044334975367</v>
      </c>
      <c r="G11" s="6">
        <v>109.85661424606846</v>
      </c>
      <c r="H11" s="6">
        <v>78.505660377358495</v>
      </c>
      <c r="I11" s="6">
        <v>65.708274894810657</v>
      </c>
      <c r="J11" s="6">
        <v>72.992805755395679</v>
      </c>
      <c r="K11" s="6">
        <v>55.892420537897308</v>
      </c>
      <c r="L11" s="6">
        <v>28.206703910614525</v>
      </c>
      <c r="M11" s="6">
        <v>15.134751773049645</v>
      </c>
      <c r="N11" s="6">
        <v>2.7555555555555555</v>
      </c>
      <c r="O11" s="6">
        <v>0</v>
      </c>
      <c r="P11" s="6">
        <v>3.6326530612244898</v>
      </c>
      <c r="Q11" s="6">
        <v>6.629032258064516</v>
      </c>
      <c r="R11" s="6">
        <v>6.5173506634269707</v>
      </c>
      <c r="S11" s="6">
        <v>4.6947017490787504</v>
      </c>
      <c r="T11" s="6">
        <v>3.369138902280044</v>
      </c>
      <c r="U11" s="6">
        <v>0.99417213509902946</v>
      </c>
      <c r="V11" s="6">
        <v>1.1191307388730956</v>
      </c>
      <c r="W11" s="6">
        <v>1.5769569502302712</v>
      </c>
      <c r="X11" s="6">
        <v>1.882174424468388</v>
      </c>
      <c r="Y11" s="6">
        <v>2.6452181100636807</v>
      </c>
      <c r="Z11" s="6">
        <v>3.0013051633414838</v>
      </c>
      <c r="AA11" s="6">
        <v>4.0695663231748931</v>
      </c>
      <c r="AB11" s="6">
        <v>4.2730446393336381</v>
      </c>
      <c r="AC11" s="6">
        <v>4.0186967441352062</v>
      </c>
    </row>
    <row r="12" spans="2:29" x14ac:dyDescent="0.2">
      <c r="B12" s="8">
        <v>9</v>
      </c>
      <c r="C12" s="6">
        <v>35.023333333333333</v>
      </c>
      <c r="D12" s="6">
        <v>35.270560190703222</v>
      </c>
      <c r="E12" s="6">
        <v>101.36507009345794</v>
      </c>
      <c r="F12" s="6">
        <v>34.96551724137931</v>
      </c>
      <c r="G12" s="6">
        <v>53.117483811285844</v>
      </c>
      <c r="H12" s="6">
        <v>37.850943396226413</v>
      </c>
      <c r="I12" s="6">
        <v>72.279102384291718</v>
      </c>
      <c r="J12" s="6">
        <v>64.02877697841727</v>
      </c>
      <c r="K12" s="6">
        <v>49.682151589242054</v>
      </c>
      <c r="L12" s="6">
        <v>51.712290502793294</v>
      </c>
      <c r="M12" s="6">
        <v>20.638297872340424</v>
      </c>
      <c r="N12" s="6">
        <v>2.7555555555555555</v>
      </c>
      <c r="O12" s="6">
        <v>7.4</v>
      </c>
      <c r="P12" s="6">
        <v>3.6326530612244898</v>
      </c>
      <c r="Q12" s="6">
        <v>11.048387096774192</v>
      </c>
      <c r="R12" s="6">
        <v>6.4336703901132024</v>
      </c>
      <c r="S12" s="6">
        <v>4.6344235860984933</v>
      </c>
      <c r="T12" s="6">
        <v>3.3258804559059776</v>
      </c>
      <c r="U12" s="6">
        <v>0.98140734764438675</v>
      </c>
      <c r="V12" s="6">
        <v>1.1047615310555285</v>
      </c>
      <c r="W12" s="6">
        <v>1.5567094301236994</v>
      </c>
      <c r="X12" s="6">
        <v>1.8580080295024799</v>
      </c>
      <c r="Y12" s="6">
        <v>2.6112545279494315</v>
      </c>
      <c r="Z12" s="6">
        <v>2.9627695605580087</v>
      </c>
      <c r="AA12" s="6">
        <v>4.0173146583837411</v>
      </c>
      <c r="AB12" s="6">
        <v>4.2181803913029272</v>
      </c>
      <c r="AC12" s="6">
        <v>3.9670982251539435</v>
      </c>
    </row>
    <row r="13" spans="2:29" x14ac:dyDescent="0.2">
      <c r="B13" s="8">
        <v>10</v>
      </c>
      <c r="C13" s="6">
        <v>35.023333333333333</v>
      </c>
      <c r="D13" s="6">
        <v>35.270560190703222</v>
      </c>
      <c r="E13" s="6">
        <v>69.061915887850461</v>
      </c>
      <c r="F13" s="6">
        <v>42.458128078817737</v>
      </c>
      <c r="G13" s="6">
        <v>38.630897317298796</v>
      </c>
      <c r="H13" s="6">
        <v>30.841509433962266</v>
      </c>
      <c r="I13" s="6">
        <v>67.022440392706869</v>
      </c>
      <c r="J13" s="6">
        <v>48.661870503597122</v>
      </c>
      <c r="K13" s="6">
        <v>51.234718826405867</v>
      </c>
      <c r="L13" s="6">
        <v>29.773743016759777</v>
      </c>
      <c r="M13" s="6">
        <v>37.148936170212764</v>
      </c>
      <c r="N13" s="6">
        <v>8.2666666666666657</v>
      </c>
      <c r="O13" s="6">
        <v>0</v>
      </c>
      <c r="P13" s="6">
        <v>10.897959183673469</v>
      </c>
      <c r="Q13" s="6">
        <v>4.4193548387096779</v>
      </c>
      <c r="R13" s="6">
        <v>6.1501100830076272</v>
      </c>
      <c r="S13" s="6">
        <v>4.4301640428444777</v>
      </c>
      <c r="T13" s="6">
        <v>3.1792941954530956</v>
      </c>
      <c r="U13" s="6">
        <v>0.93815238554353642</v>
      </c>
      <c r="V13" s="6">
        <v>1.056069804555841</v>
      </c>
      <c r="W13" s="6">
        <v>1.4880983609650487</v>
      </c>
      <c r="X13" s="6">
        <v>1.7761173985711871</v>
      </c>
      <c r="Y13" s="6">
        <v>2.4961649925865332</v>
      </c>
      <c r="Z13" s="6">
        <v>2.8321872031270279</v>
      </c>
      <c r="AA13" s="6">
        <v>3.8402538347485131</v>
      </c>
      <c r="AB13" s="6">
        <v>4.0322665264859383</v>
      </c>
      <c r="AC13" s="6">
        <v>3.792250661814156</v>
      </c>
    </row>
    <row r="14" spans="2:29" x14ac:dyDescent="0.2">
      <c r="B14" s="8">
        <v>11</v>
      </c>
      <c r="C14" s="6">
        <v>35.023333333333333</v>
      </c>
      <c r="D14" s="6">
        <v>45.721096543504174</v>
      </c>
      <c r="E14" s="6">
        <v>76.859228971962622</v>
      </c>
      <c r="F14" s="6">
        <v>33.716748768472904</v>
      </c>
      <c r="G14" s="6">
        <v>62.775208140610545</v>
      </c>
      <c r="H14" s="6">
        <v>21.028301886792452</v>
      </c>
      <c r="I14" s="6">
        <v>32.854137447405328</v>
      </c>
      <c r="J14" s="6">
        <v>47.381294964028775</v>
      </c>
      <c r="K14" s="6">
        <v>45.024449877750612</v>
      </c>
      <c r="L14" s="6">
        <v>40.743016759776538</v>
      </c>
      <c r="M14" s="6">
        <v>24.76595744680851</v>
      </c>
      <c r="N14" s="6">
        <v>0</v>
      </c>
      <c r="O14" s="6">
        <v>0</v>
      </c>
      <c r="P14" s="6">
        <v>1.8163265306122449</v>
      </c>
      <c r="Q14" s="6">
        <v>8.8387096774193559</v>
      </c>
      <c r="R14" s="6">
        <v>4.6853479132097444</v>
      </c>
      <c r="S14" s="6">
        <v>3.3750387510409174</v>
      </c>
      <c r="T14" s="6">
        <v>2.4220866330999526</v>
      </c>
      <c r="U14" s="6">
        <v>0.71471408845572371</v>
      </c>
      <c r="V14" s="6">
        <v>0.80454729886066578</v>
      </c>
      <c r="W14" s="6">
        <v>1.133680284758211</v>
      </c>
      <c r="X14" s="6">
        <v>1.3531022753565742</v>
      </c>
      <c r="Y14" s="6">
        <v>1.9016572518524828</v>
      </c>
      <c r="Z14" s="6">
        <v>2.1576495742172401</v>
      </c>
      <c r="AA14" s="6">
        <v>2.9256265413115123</v>
      </c>
      <c r="AB14" s="6">
        <v>3.0719078683770875</v>
      </c>
      <c r="AC14" s="6">
        <v>2.8890562095451178</v>
      </c>
    </row>
    <row r="15" spans="2:29" x14ac:dyDescent="0.2">
      <c r="B15" s="8">
        <v>12</v>
      </c>
      <c r="C15" s="6">
        <v>15.010000000000002</v>
      </c>
      <c r="D15" s="6">
        <v>32.657926102502984</v>
      </c>
      <c r="E15" s="6">
        <v>53.467289719626166</v>
      </c>
      <c r="F15" s="6">
        <v>34.96551724137931</v>
      </c>
      <c r="G15" s="6">
        <v>36.216466234967619</v>
      </c>
      <c r="H15" s="6">
        <v>30.841509433962266</v>
      </c>
      <c r="I15" s="6">
        <v>21.026647966339411</v>
      </c>
      <c r="J15" s="6">
        <v>28.172661870503596</v>
      </c>
      <c r="K15" s="6">
        <v>43.471882640586799</v>
      </c>
      <c r="L15" s="6">
        <v>32.907821229050278</v>
      </c>
      <c r="M15" s="6">
        <v>31.645390070921987</v>
      </c>
      <c r="N15" s="6">
        <v>2.7555555555555555</v>
      </c>
      <c r="O15" s="6">
        <v>14.8</v>
      </c>
      <c r="P15" s="6">
        <v>0</v>
      </c>
      <c r="Q15" s="6">
        <v>2.209677419354839</v>
      </c>
      <c r="R15" s="6">
        <v>4.7674977615431064</v>
      </c>
      <c r="S15" s="6">
        <v>3.4342144892471529</v>
      </c>
      <c r="T15" s="6">
        <v>2.4645539275773687</v>
      </c>
      <c r="U15" s="6">
        <v>0.72724542125233826</v>
      </c>
      <c r="V15" s="6">
        <v>0.81865370884402644</v>
      </c>
      <c r="W15" s="6">
        <v>1.1535574988256738</v>
      </c>
      <c r="X15" s="6">
        <v>1.3768266921467718</v>
      </c>
      <c r="Y15" s="6">
        <v>1.9349996754495171</v>
      </c>
      <c r="Z15" s="6">
        <v>2.1954804009907982</v>
      </c>
      <c r="AA15" s="6">
        <v>2.976922577614642</v>
      </c>
      <c r="AB15" s="6">
        <v>3.1257687064953741</v>
      </c>
      <c r="AC15" s="6">
        <v>2.9397110453944584</v>
      </c>
    </row>
    <row r="16" spans="2:29" x14ac:dyDescent="0.2">
      <c r="B16" s="8">
        <v>13</v>
      </c>
      <c r="C16" s="6">
        <v>15.010000000000002</v>
      </c>
      <c r="D16" s="6">
        <v>32.657926102502984</v>
      </c>
      <c r="E16" s="6">
        <v>41.214369158878505</v>
      </c>
      <c r="F16" s="6">
        <v>38.71182266009852</v>
      </c>
      <c r="G16" s="6">
        <v>33.802035152636449</v>
      </c>
      <c r="H16" s="6">
        <v>22.430188679245283</v>
      </c>
      <c r="I16" s="6">
        <v>32.854137447405328</v>
      </c>
      <c r="J16" s="6">
        <v>16.647482014388491</v>
      </c>
      <c r="K16" s="6">
        <v>15.525672371638143</v>
      </c>
      <c r="L16" s="6">
        <v>34.47486033519553</v>
      </c>
      <c r="M16" s="6">
        <v>15.134751773049645</v>
      </c>
      <c r="N16" s="6">
        <v>0</v>
      </c>
      <c r="O16" s="6">
        <v>9.8666666666666671</v>
      </c>
      <c r="P16" s="6">
        <v>5.4489795918367347</v>
      </c>
      <c r="Q16" s="6">
        <v>4.4193548387096779</v>
      </c>
      <c r="R16" s="6">
        <v>4.0649156513394971</v>
      </c>
      <c r="S16" s="6">
        <v>2.9281172064733663</v>
      </c>
      <c r="T16" s="6">
        <v>2.1013547011161808</v>
      </c>
      <c r="U16" s="6">
        <v>0.6200718790178894</v>
      </c>
      <c r="V16" s="6">
        <v>0.69800940462950689</v>
      </c>
      <c r="W16" s="6">
        <v>0.98355870652339616</v>
      </c>
      <c r="X16" s="6">
        <v>1.173924907785989</v>
      </c>
      <c r="Y16" s="6">
        <v>1.6498404109424709</v>
      </c>
      <c r="Z16" s="6">
        <v>1.8719343124154959</v>
      </c>
      <c r="AA16" s="6">
        <v>2.5382160168345709</v>
      </c>
      <c r="AB16" s="6">
        <v>2.6651268176762994</v>
      </c>
      <c r="AC16" s="6">
        <v>2.5064883166241385</v>
      </c>
    </row>
    <row r="17" spans="2:29" x14ac:dyDescent="0.2">
      <c r="B17" s="8">
        <v>14</v>
      </c>
      <c r="C17" s="6">
        <v>15.010000000000002</v>
      </c>
      <c r="D17" s="6">
        <v>26.126340882002385</v>
      </c>
      <c r="E17" s="6">
        <v>49.011682242990652</v>
      </c>
      <c r="F17" s="6">
        <v>28.721674876847292</v>
      </c>
      <c r="G17" s="6">
        <v>26.558741905642922</v>
      </c>
      <c r="H17" s="6">
        <v>23.832075471698111</v>
      </c>
      <c r="I17" s="6">
        <v>24.969144460028051</v>
      </c>
      <c r="J17" s="6">
        <v>33.294964028776981</v>
      </c>
      <c r="K17" s="6">
        <v>20.183374083129586</v>
      </c>
      <c r="L17" s="6">
        <v>20.371508379888269</v>
      </c>
      <c r="M17" s="6">
        <v>19.26241134751773</v>
      </c>
      <c r="N17" s="6">
        <v>0</v>
      </c>
      <c r="O17" s="6">
        <v>4.9333333333333336</v>
      </c>
      <c r="P17" s="6">
        <v>1.8163265306122449</v>
      </c>
      <c r="Q17" s="6">
        <v>6.629032258064516</v>
      </c>
      <c r="R17" s="6">
        <v>3.4246100115864349</v>
      </c>
      <c r="S17" s="6">
        <v>2.4668800930919232</v>
      </c>
      <c r="T17" s="6">
        <v>1.7703492432777332</v>
      </c>
      <c r="U17" s="6">
        <v>0.52239813736064256</v>
      </c>
      <c r="V17" s="6">
        <v>0.58805894151530369</v>
      </c>
      <c r="W17" s="6">
        <v>0.82862850849883718</v>
      </c>
      <c r="X17" s="6">
        <v>0.98900821982119269</v>
      </c>
      <c r="Y17" s="6">
        <v>1.3899574981270817</v>
      </c>
      <c r="Z17" s="6">
        <v>1.5770671613364964</v>
      </c>
      <c r="AA17" s="6">
        <v>2.1383961509647413</v>
      </c>
      <c r="AB17" s="6">
        <v>2.245315958512978</v>
      </c>
      <c r="AC17" s="6">
        <v>2.1116661990776815</v>
      </c>
    </row>
    <row r="18" spans="2:29" x14ac:dyDescent="0.2">
      <c r="B18" s="8">
        <v>15</v>
      </c>
      <c r="C18" s="6">
        <v>12.508333333333335</v>
      </c>
      <c r="D18" s="6">
        <v>27.432657926102504</v>
      </c>
      <c r="E18" s="6">
        <v>33.417056074766357</v>
      </c>
      <c r="F18" s="6">
        <v>19.980295566502463</v>
      </c>
      <c r="G18" s="6">
        <v>24.144310823311748</v>
      </c>
      <c r="H18" s="6">
        <v>12.616981132075471</v>
      </c>
      <c r="I18" s="6">
        <v>23.654978962131835</v>
      </c>
      <c r="J18" s="6">
        <v>26.89208633093525</v>
      </c>
      <c r="K18" s="6">
        <v>18.630806845965772</v>
      </c>
      <c r="L18" s="6">
        <v>7.8351955307262564</v>
      </c>
      <c r="M18" s="6">
        <v>24.76595744680851</v>
      </c>
      <c r="N18" s="6">
        <v>8.2666666666666657</v>
      </c>
      <c r="O18" s="6">
        <v>9.8666666666666671</v>
      </c>
      <c r="P18" s="6">
        <v>3.6326530612244898</v>
      </c>
      <c r="Q18" s="6">
        <v>8.8387096774193559</v>
      </c>
      <c r="R18" s="6">
        <v>4.1658629502473543</v>
      </c>
      <c r="S18" s="6">
        <v>3.0008334811103823</v>
      </c>
      <c r="T18" s="6">
        <v>2.1535393217380392</v>
      </c>
      <c r="U18" s="6">
        <v>0.63547061952925743</v>
      </c>
      <c r="V18" s="6">
        <v>0.71534362999932766</v>
      </c>
      <c r="W18" s="6">
        <v>1.0079842059081436</v>
      </c>
      <c r="X18" s="6">
        <v>1.2030779231806874</v>
      </c>
      <c r="Y18" s="6">
        <v>1.6908122163620474</v>
      </c>
      <c r="Z18" s="6">
        <v>1.9184215531800151</v>
      </c>
      <c r="AA18" s="6">
        <v>2.6012495636339192</v>
      </c>
      <c r="AB18" s="6">
        <v>2.7313120418156149</v>
      </c>
      <c r="AC18" s="6">
        <v>2.5687339440884944</v>
      </c>
    </row>
    <row r="19" spans="2:29" x14ac:dyDescent="0.2">
      <c r="B19" s="8">
        <v>16</v>
      </c>
      <c r="C19" s="6">
        <v>12.508333333333335</v>
      </c>
      <c r="D19" s="6">
        <v>31.351609058402861</v>
      </c>
      <c r="E19" s="6">
        <v>30.07535046728972</v>
      </c>
      <c r="F19" s="6">
        <v>12.487684729064039</v>
      </c>
      <c r="G19" s="6">
        <v>18.10823311748381</v>
      </c>
      <c r="H19" s="6">
        <v>14.018867924528301</v>
      </c>
      <c r="I19" s="6">
        <v>17.08415147265077</v>
      </c>
      <c r="J19" s="6">
        <v>11.525179856115107</v>
      </c>
      <c r="K19" s="6">
        <v>15.525672371638143</v>
      </c>
      <c r="L19" s="6">
        <v>12.536312849162012</v>
      </c>
      <c r="M19" s="6">
        <v>8.2553191489361701</v>
      </c>
      <c r="N19" s="6">
        <v>2.7555555555555555</v>
      </c>
      <c r="O19" s="6">
        <v>4.9333333333333336</v>
      </c>
      <c r="P19" s="6">
        <v>0</v>
      </c>
      <c r="Q19" s="6">
        <v>4.4193548387096779</v>
      </c>
      <c r="R19" s="6">
        <v>2.3281330223518446</v>
      </c>
      <c r="S19" s="6">
        <v>1.6770449737280235</v>
      </c>
      <c r="T19" s="6">
        <v>1.2035263929106994</v>
      </c>
      <c r="U19" s="6">
        <v>0.35513893561299326</v>
      </c>
      <c r="V19" s="6">
        <v>0.39977674427133703</v>
      </c>
      <c r="W19" s="6">
        <v>0.56332177601870226</v>
      </c>
      <c r="X19" s="6">
        <v>0.67235179718361238</v>
      </c>
      <c r="Y19" s="6">
        <v>0.94492685009588762</v>
      </c>
      <c r="Z19" s="6">
        <v>1.0721285414549493</v>
      </c>
      <c r="AA19" s="6">
        <v>1.453733615532135</v>
      </c>
      <c r="AB19" s="6">
        <v>1.5264202963087414</v>
      </c>
      <c r="AC19" s="6">
        <v>1.4355619453379829</v>
      </c>
    </row>
    <row r="20" spans="2:29" x14ac:dyDescent="0.2">
      <c r="B20" s="8">
        <v>17</v>
      </c>
      <c r="C20" s="6">
        <v>12.508333333333335</v>
      </c>
      <c r="D20" s="6">
        <v>16.982121573301548</v>
      </c>
      <c r="E20" s="6">
        <v>28.96144859813084</v>
      </c>
      <c r="F20" s="6">
        <v>4.9950738916256157</v>
      </c>
      <c r="G20" s="6">
        <v>19.315448658649398</v>
      </c>
      <c r="H20" s="6">
        <v>7.0094339622641506</v>
      </c>
      <c r="I20" s="6">
        <v>3.9424964936886395</v>
      </c>
      <c r="J20" s="6">
        <v>3.8417266187050361</v>
      </c>
      <c r="K20" s="6">
        <v>12.420537897310513</v>
      </c>
      <c r="L20" s="6">
        <v>15.670391061452513</v>
      </c>
      <c r="M20" s="6">
        <v>6.8794326241134751</v>
      </c>
      <c r="N20" s="6">
        <v>0</v>
      </c>
      <c r="O20" s="6">
        <v>2.4666666666666668</v>
      </c>
      <c r="P20" s="6">
        <v>7.2653061224489797</v>
      </c>
      <c r="Q20" s="6">
        <v>2.209677419354839</v>
      </c>
      <c r="R20" s="6">
        <v>2.0603386373454855</v>
      </c>
      <c r="S20" s="6">
        <v>1.4841422387658159</v>
      </c>
      <c r="T20" s="6">
        <v>1.065090312526056</v>
      </c>
      <c r="U20" s="6">
        <v>0.31428894467981983</v>
      </c>
      <c r="V20" s="6">
        <v>0.35379227244599482</v>
      </c>
      <c r="W20" s="6">
        <v>0.49852547481026549</v>
      </c>
      <c r="X20" s="6">
        <v>0.59501427638644588</v>
      </c>
      <c r="Y20" s="6">
        <v>0.83623628032689701</v>
      </c>
      <c r="Z20" s="6">
        <v>0.94880654883244075</v>
      </c>
      <c r="AA20" s="6">
        <v>1.2865173543490722</v>
      </c>
      <c r="AB20" s="6">
        <v>1.3508432220665259</v>
      </c>
      <c r="AC20" s="6">
        <v>1.2704358874197088</v>
      </c>
    </row>
    <row r="21" spans="2:29" x14ac:dyDescent="0.2">
      <c r="B21" s="8">
        <v>18</v>
      </c>
      <c r="C21" s="6">
        <v>12.508333333333335</v>
      </c>
      <c r="D21" s="6">
        <v>5.2252681764004762</v>
      </c>
      <c r="E21" s="6">
        <v>12.252920560747663</v>
      </c>
      <c r="F21" s="6">
        <v>7.4926108374384235</v>
      </c>
      <c r="G21" s="6">
        <v>4.8288621646623495</v>
      </c>
      <c r="H21" s="6">
        <v>8.4113207547169804</v>
      </c>
      <c r="I21" s="6">
        <v>5.2566619915848527</v>
      </c>
      <c r="J21" s="6">
        <v>5.1223021582733814</v>
      </c>
      <c r="K21" s="6">
        <v>7.7628361858190713</v>
      </c>
      <c r="L21" s="6">
        <v>6.2681564245810062</v>
      </c>
      <c r="M21" s="6">
        <v>2.75177304964539</v>
      </c>
      <c r="N21" s="6">
        <v>8.2666666666666657</v>
      </c>
      <c r="O21" s="6">
        <v>2.4666666666666668</v>
      </c>
      <c r="P21" s="6">
        <v>3.6326530612244898</v>
      </c>
      <c r="Q21" s="6">
        <v>2.209677419354839</v>
      </c>
      <c r="R21" s="6">
        <v>1.8063943905833533</v>
      </c>
      <c r="S21" s="6">
        <v>1.301216298301568</v>
      </c>
      <c r="T21" s="6">
        <v>0.93381404936936052</v>
      </c>
      <c r="U21" s="6">
        <v>0.27555168669915558</v>
      </c>
      <c r="V21" s="6">
        <v>0.31018608533283437</v>
      </c>
      <c r="W21" s="6">
        <v>0.43708039296899398</v>
      </c>
      <c r="X21" s="6">
        <v>0.52167659805976696</v>
      </c>
      <c r="Y21" s="6">
        <v>0.73316711078669949</v>
      </c>
      <c r="Z21" s="6">
        <v>0.83186268339260139</v>
      </c>
      <c r="AA21" s="6">
        <v>1.1279494012103071</v>
      </c>
      <c r="AB21" s="6">
        <v>1.1843468712708223</v>
      </c>
      <c r="AC21" s="6">
        <v>1.113850033695178</v>
      </c>
    </row>
    <row r="22" spans="2:29" x14ac:dyDescent="0.2">
      <c r="B22" s="8">
        <v>19</v>
      </c>
      <c r="C22" s="6">
        <v>12.508333333333335</v>
      </c>
      <c r="D22" s="6">
        <v>5.2252681764004762</v>
      </c>
      <c r="E22" s="6">
        <v>6.6834112149532707</v>
      </c>
      <c r="F22" s="6">
        <v>1.2487684729064039</v>
      </c>
      <c r="G22" s="6">
        <v>3.6216466234967624</v>
      </c>
      <c r="H22" s="6">
        <v>4.2056603773584902</v>
      </c>
      <c r="I22" s="6">
        <v>1.3141654978962132</v>
      </c>
      <c r="J22" s="6">
        <v>0</v>
      </c>
      <c r="K22" s="6">
        <v>6.2102689486552567</v>
      </c>
      <c r="L22" s="6">
        <v>3.1340782122905031</v>
      </c>
      <c r="M22" s="6">
        <v>4.1276595744680851</v>
      </c>
      <c r="N22" s="6">
        <v>0</v>
      </c>
      <c r="O22" s="6">
        <v>2.4666666666666668</v>
      </c>
      <c r="P22" s="6">
        <v>1.8163265306122449</v>
      </c>
      <c r="Q22" s="6">
        <v>0</v>
      </c>
      <c r="R22" s="6">
        <v>0.75764221027912371</v>
      </c>
      <c r="S22" s="6">
        <v>0.54575921926886029</v>
      </c>
      <c r="T22" s="6">
        <v>0.39166249853412327</v>
      </c>
      <c r="U22" s="6">
        <v>0.11557254055105277</v>
      </c>
      <c r="V22" s="6">
        <v>0.13009898199113865</v>
      </c>
      <c r="W22" s="6">
        <v>0.1833212928056954</v>
      </c>
      <c r="X22" s="6">
        <v>0.21880283334873321</v>
      </c>
      <c r="Y22" s="6">
        <v>0.30750668470632775</v>
      </c>
      <c r="Z22" s="6">
        <v>0.34890181533987186</v>
      </c>
      <c r="AA22" s="6">
        <v>0.47308720724050424</v>
      </c>
      <c r="AB22" s="6">
        <v>0.49674156760252941</v>
      </c>
      <c r="AC22" s="6">
        <v>0.46717361714999789</v>
      </c>
    </row>
    <row r="23" spans="2:29" x14ac:dyDescent="0.2">
      <c r="B23" s="8">
        <v>20</v>
      </c>
      <c r="C23" s="6">
        <v>12.508333333333335</v>
      </c>
      <c r="D23" s="6">
        <v>2.6126340882002381</v>
      </c>
      <c r="E23" s="6">
        <v>5.5695093457943923</v>
      </c>
      <c r="F23" s="6">
        <v>0</v>
      </c>
      <c r="G23" s="6">
        <v>0</v>
      </c>
      <c r="H23" s="6">
        <v>1.4018867924528302</v>
      </c>
      <c r="I23" s="6">
        <v>3.9424964936886395</v>
      </c>
      <c r="J23" s="6">
        <v>1.2805755395683454</v>
      </c>
      <c r="K23" s="6">
        <v>3.1051344743276283</v>
      </c>
      <c r="L23" s="6">
        <v>0</v>
      </c>
      <c r="M23" s="6">
        <v>1.375886524822695</v>
      </c>
      <c r="N23" s="6">
        <v>2.7555555555555555</v>
      </c>
      <c r="O23" s="6">
        <v>2.4666666666666668</v>
      </c>
      <c r="P23" s="6">
        <v>0</v>
      </c>
      <c r="Q23" s="6">
        <v>0</v>
      </c>
      <c r="R23" s="6">
        <v>0.58253782631241535</v>
      </c>
      <c r="S23" s="6">
        <v>0.4196247053945365</v>
      </c>
      <c r="T23" s="6">
        <v>0.30114243563607912</v>
      </c>
      <c r="U23" s="6">
        <v>8.8861702318843022E-2</v>
      </c>
      <c r="V23" s="6">
        <v>0.10003082872937478</v>
      </c>
      <c r="W23" s="6">
        <v>0.14095253139139174</v>
      </c>
      <c r="X23" s="6">
        <v>0.16823366649940305</v>
      </c>
      <c r="Y23" s="6">
        <v>0.23643650426943133</v>
      </c>
      <c r="Z23" s="6">
        <v>0.26826449522877782</v>
      </c>
      <c r="AA23" s="6">
        <v>0.36374846810681744</v>
      </c>
      <c r="AB23" s="6">
        <v>0.38193589151215829</v>
      </c>
      <c r="AC23" s="6">
        <v>0.35920161225548219</v>
      </c>
    </row>
    <row r="25" spans="2:29" x14ac:dyDescent="0.2">
      <c r="B25" t="s">
        <v>141</v>
      </c>
      <c r="C25" s="6">
        <f t="shared" ref="C25:AC25" si="0">SUM(C4:C23)</f>
        <v>1501.0000000000005</v>
      </c>
      <c r="D25" s="6">
        <f t="shared" si="0"/>
        <v>1094.6936829558999</v>
      </c>
      <c r="E25" s="6">
        <f t="shared" si="0"/>
        <v>1904.7721962616829</v>
      </c>
      <c r="F25" s="6">
        <f t="shared" si="0"/>
        <v>1013.9999999999999</v>
      </c>
      <c r="G25" s="6">
        <f t="shared" si="0"/>
        <v>1302.585568917669</v>
      </c>
      <c r="H25" s="6">
        <f t="shared" si="0"/>
        <v>742.99999999999989</v>
      </c>
      <c r="I25" s="6">
        <f t="shared" si="0"/>
        <v>937</v>
      </c>
      <c r="J25" s="6">
        <f t="shared" si="0"/>
        <v>888.71942446043158</v>
      </c>
      <c r="K25" s="6">
        <f t="shared" si="0"/>
        <v>635.00000000000011</v>
      </c>
      <c r="L25" s="6">
        <f t="shared" si="0"/>
        <v>561</v>
      </c>
      <c r="M25" s="6">
        <f t="shared" si="0"/>
        <v>388</v>
      </c>
      <c r="N25" s="6">
        <f t="shared" si="0"/>
        <v>124.00000000000003</v>
      </c>
      <c r="O25" s="6">
        <f t="shared" si="0"/>
        <v>111.00000000000003</v>
      </c>
      <c r="P25" s="6">
        <f t="shared" si="0"/>
        <v>88.999999999999986</v>
      </c>
      <c r="Q25" s="6">
        <f t="shared" si="0"/>
        <v>134.79032258064515</v>
      </c>
      <c r="R25" s="6">
        <f t="shared" si="0"/>
        <v>117.82867863710052</v>
      </c>
      <c r="S25" s="6">
        <f t="shared" si="0"/>
        <v>84.876590543674084</v>
      </c>
      <c r="T25" s="6">
        <f t="shared" si="0"/>
        <v>60.911435566636698</v>
      </c>
      <c r="U25" s="6">
        <f t="shared" si="0"/>
        <v>17.973866232778043</v>
      </c>
      <c r="V25" s="6">
        <f t="shared" si="0"/>
        <v>20.233021513413675</v>
      </c>
      <c r="W25" s="6">
        <f t="shared" si="0"/>
        <v>28.510166677992007</v>
      </c>
      <c r="X25" s="6">
        <f t="shared" si="0"/>
        <v>34.028263454377552</v>
      </c>
      <c r="Y25" s="6">
        <f t="shared" si="0"/>
        <v>47.823505395341442</v>
      </c>
      <c r="Z25" s="6">
        <f t="shared" si="0"/>
        <v>54.261284967791241</v>
      </c>
      <c r="AA25" s="6">
        <f t="shared" si="0"/>
        <v>73.574623685140651</v>
      </c>
      <c r="AB25" s="6">
        <f t="shared" si="0"/>
        <v>77.253354869397697</v>
      </c>
      <c r="AC25" s="6">
        <f t="shared" si="0"/>
        <v>72.654940889076357</v>
      </c>
    </row>
    <row r="28" spans="2:29" x14ac:dyDescent="0.2">
      <c r="B28" s="26" t="s">
        <v>199</v>
      </c>
      <c r="C28" s="6"/>
      <c r="D28" s="6"/>
      <c r="E28" s="6"/>
      <c r="F28" s="6"/>
      <c r="G28" s="6"/>
      <c r="H28" s="6"/>
      <c r="I28" s="6"/>
      <c r="J28" s="6"/>
      <c r="K28" s="6"/>
      <c r="L28" s="6"/>
      <c r="M28" s="6"/>
      <c r="N28" s="6"/>
      <c r="O28" s="6"/>
      <c r="P28" s="6"/>
      <c r="Q28" s="6"/>
      <c r="R28" s="6"/>
      <c r="S28" s="6"/>
      <c r="T28" s="6"/>
      <c r="U28" s="6"/>
      <c r="V28" s="6"/>
      <c r="W28" s="6"/>
      <c r="X28" s="6"/>
      <c r="Y28" s="6"/>
      <c r="Z28" s="6"/>
      <c r="AA28" s="6"/>
      <c r="AB28" s="6"/>
    </row>
    <row r="29" spans="2:29" x14ac:dyDescent="0.2">
      <c r="B29" s="26" t="s">
        <v>200</v>
      </c>
      <c r="C29" s="6">
        <v>12096.704654082499</v>
      </c>
      <c r="D29" s="6">
        <v>12283.727286089259</v>
      </c>
      <c r="E29" s="6"/>
      <c r="F29" s="6">
        <v>9281.951049068608</v>
      </c>
      <c r="G29" s="6">
        <v>8754.803312618149</v>
      </c>
      <c r="H29" s="6">
        <v>10474.163253679631</v>
      </c>
      <c r="I29" s="6">
        <v>7492.3840813269126</v>
      </c>
      <c r="J29" s="6">
        <v>8060.6728382737447</v>
      </c>
      <c r="K29" s="6">
        <v>8699.9811302063245</v>
      </c>
      <c r="L29" s="6">
        <v>7857.0153444900543</v>
      </c>
      <c r="M29" s="6">
        <v>7502.7534420372231</v>
      </c>
      <c r="N29" s="6">
        <v>6527.0681367315228</v>
      </c>
      <c r="O29" s="6">
        <v>6598.6019154239184</v>
      </c>
      <c r="P29" s="6">
        <v>6942.8616827133474</v>
      </c>
      <c r="Q29" s="6">
        <v>6004.6669360505966</v>
      </c>
      <c r="R29" s="6">
        <v>5073.5972755425219</v>
      </c>
      <c r="S29" s="6">
        <v>4278.8250219346482</v>
      </c>
      <c r="T29" s="6">
        <v>4494.5721834175383</v>
      </c>
      <c r="U29" s="6">
        <v>4117.856704571811</v>
      </c>
      <c r="V29" s="6">
        <v>4261.6022292312027</v>
      </c>
      <c r="W29" s="6">
        <v>4206.1129775233267</v>
      </c>
      <c r="X29" s="6">
        <v>4494.1690282848713</v>
      </c>
      <c r="Y29" s="6">
        <v>5202.7428267836258</v>
      </c>
      <c r="Z29" s="6">
        <v>5843.2153692173388</v>
      </c>
      <c r="AA29" s="6">
        <v>5565.019910671509</v>
      </c>
      <c r="AB29" s="6">
        <v>4965.7561920646722</v>
      </c>
    </row>
    <row r="30" spans="2:29" x14ac:dyDescent="0.2">
      <c r="B30" s="8" t="s">
        <v>201</v>
      </c>
      <c r="C30" s="8">
        <v>1995</v>
      </c>
      <c r="D30" s="8">
        <v>1996</v>
      </c>
      <c r="E30" s="8">
        <v>1997</v>
      </c>
      <c r="F30" s="8">
        <v>1998</v>
      </c>
      <c r="G30" s="8">
        <v>1999</v>
      </c>
      <c r="H30" s="8">
        <v>2000</v>
      </c>
      <c r="I30" s="8">
        <v>2001</v>
      </c>
      <c r="J30" s="8">
        <v>2002</v>
      </c>
      <c r="K30" s="8">
        <v>2003</v>
      </c>
      <c r="L30" s="8">
        <v>2004</v>
      </c>
      <c r="M30" s="8">
        <v>2005</v>
      </c>
      <c r="N30" s="8">
        <v>2006</v>
      </c>
      <c r="O30" s="8">
        <v>2007</v>
      </c>
      <c r="P30" s="8">
        <v>2008</v>
      </c>
      <c r="Q30" s="8">
        <v>2009</v>
      </c>
      <c r="R30" s="8">
        <v>2010</v>
      </c>
      <c r="S30" s="8">
        <v>2011</v>
      </c>
      <c r="T30" s="8">
        <v>2012</v>
      </c>
      <c r="U30" s="8">
        <v>2013</v>
      </c>
      <c r="V30" s="56">
        <v>2014</v>
      </c>
      <c r="W30" s="56">
        <v>2015</v>
      </c>
      <c r="X30" s="56">
        <v>2016</v>
      </c>
      <c r="Y30" s="56">
        <v>2017</v>
      </c>
      <c r="Z30" s="56">
        <v>2018</v>
      </c>
      <c r="AA30" s="56">
        <v>2019</v>
      </c>
      <c r="AB30" s="56">
        <v>2020</v>
      </c>
    </row>
    <row r="31" spans="2:29" x14ac:dyDescent="0.2">
      <c r="B31" s="57">
        <v>1</v>
      </c>
      <c r="C31" s="5">
        <v>0.15036231884057971</v>
      </c>
      <c r="D31" s="5">
        <v>0.14836611429456403</v>
      </c>
      <c r="E31" s="5">
        <v>8.7702106810387065E-2</v>
      </c>
      <c r="F31" s="5">
        <v>6.593642611683849E-2</v>
      </c>
      <c r="G31" s="5">
        <v>8.5427135678391955E-2</v>
      </c>
      <c r="H31" s="5">
        <v>8.661887694145759E-2</v>
      </c>
      <c r="I31" s="5">
        <v>9.0101940151266033E-2</v>
      </c>
      <c r="J31" s="5">
        <v>9.5736122284794847E-2</v>
      </c>
      <c r="K31" s="5">
        <v>5.7815845824411134E-2</v>
      </c>
      <c r="L31" s="5">
        <v>5.9372915276851235E-2</v>
      </c>
      <c r="M31" s="5">
        <v>5.8311575282854654E-2</v>
      </c>
      <c r="N31" s="5">
        <v>5.2934407364787113E-2</v>
      </c>
      <c r="O31" s="5">
        <v>3.6386449184441658E-2</v>
      </c>
      <c r="P31" s="5">
        <v>3.8303693570451436E-2</v>
      </c>
      <c r="Q31" s="5">
        <v>2.385008517887564E-2</v>
      </c>
      <c r="R31" s="5">
        <v>3.1315240083507306E-2</v>
      </c>
      <c r="S31" s="5">
        <v>5.3333333333333337E-2</v>
      </c>
      <c r="T31" s="5">
        <v>3.0386740331491711E-2</v>
      </c>
      <c r="U31" s="5">
        <v>4.1176470588235294E-2</v>
      </c>
      <c r="V31" s="58">
        <f>AVERAGE(Q31:U31)</f>
        <v>3.601237390308866E-2</v>
      </c>
      <c r="W31" s="58">
        <f t="shared" ref="W31:AB46" si="1">AVERAGE(R31:V31)</f>
        <v>3.8444831647931263E-2</v>
      </c>
      <c r="X31" s="58">
        <f t="shared" si="1"/>
        <v>3.9870749960816056E-2</v>
      </c>
      <c r="Y31" s="58">
        <f t="shared" si="1"/>
        <v>3.7178233286312597E-2</v>
      </c>
      <c r="Z31" s="58">
        <f t="shared" si="1"/>
        <v>3.8536531877276778E-2</v>
      </c>
      <c r="AA31" s="58">
        <f t="shared" si="1"/>
        <v>3.8008544135085066E-2</v>
      </c>
      <c r="AB31" s="58">
        <f t="shared" si="1"/>
        <v>3.8407778181484345E-2</v>
      </c>
    </row>
    <row r="32" spans="2:29" x14ac:dyDescent="0.2">
      <c r="B32" s="8">
        <v>2</v>
      </c>
      <c r="C32" s="5">
        <v>0.14402173913043478</v>
      </c>
      <c r="D32" s="5">
        <v>0.1285426668731609</v>
      </c>
      <c r="E32" s="5">
        <v>0.13408459905275191</v>
      </c>
      <c r="F32" s="5">
        <v>8.2689003436426115E-2</v>
      </c>
      <c r="G32" s="5">
        <v>6.1976549413735343E-2</v>
      </c>
      <c r="H32" s="5">
        <v>7.4671445639187581E-2</v>
      </c>
      <c r="I32" s="5">
        <v>7.3988819467280503E-2</v>
      </c>
      <c r="J32" s="5">
        <v>6.9187449718423166E-2</v>
      </c>
      <c r="K32" s="5">
        <v>8.2441113490364024E-2</v>
      </c>
      <c r="L32" s="5">
        <v>5.6037358238825885E-2</v>
      </c>
      <c r="M32" s="5">
        <v>5.0478677110530897E-2</v>
      </c>
      <c r="N32" s="5">
        <v>5.5235903337169157E-2</v>
      </c>
      <c r="O32" s="5">
        <v>4.7678795483061483E-2</v>
      </c>
      <c r="P32" s="5">
        <v>3.9671682626538987E-2</v>
      </c>
      <c r="Q32" s="5">
        <v>4.0885860306643949E-2</v>
      </c>
      <c r="R32" s="5">
        <v>2.5052192066805846E-2</v>
      </c>
      <c r="S32" s="5">
        <v>2.6666666666666668E-2</v>
      </c>
      <c r="T32" s="5">
        <v>6.0773480662983423E-2</v>
      </c>
      <c r="U32" s="5">
        <v>3.2352941176470591E-2</v>
      </c>
      <c r="V32" s="58">
        <f t="shared" ref="V32:AB50" si="2">AVERAGE(Q32:U32)</f>
        <v>3.7146228175914099E-2</v>
      </c>
      <c r="W32" s="58">
        <f t="shared" si="1"/>
        <v>3.6398301749768124E-2</v>
      </c>
      <c r="X32" s="58">
        <f t="shared" si="1"/>
        <v>3.8667523686360582E-2</v>
      </c>
      <c r="Y32" s="58">
        <f t="shared" si="1"/>
        <v>4.1067695090299366E-2</v>
      </c>
      <c r="Z32" s="58">
        <f t="shared" si="1"/>
        <v>3.7126537975762555E-2</v>
      </c>
      <c r="AA32" s="58">
        <f t="shared" si="1"/>
        <v>3.8081257335620941E-2</v>
      </c>
      <c r="AB32" s="58">
        <f t="shared" si="1"/>
        <v>3.8268263167562308E-2</v>
      </c>
    </row>
    <row r="33" spans="2:28" x14ac:dyDescent="0.2">
      <c r="B33" s="57">
        <v>3</v>
      </c>
      <c r="C33" s="5">
        <v>0.13894927536231885</v>
      </c>
      <c r="D33" s="5">
        <v>0.12312219296887099</v>
      </c>
      <c r="E33" s="5">
        <v>0.1236322064347542</v>
      </c>
      <c r="F33" s="5">
        <v>0.14261168384879724</v>
      </c>
      <c r="G33" s="5">
        <v>8.2077051926298161E-2</v>
      </c>
      <c r="H33" s="5">
        <v>5.7347670250896057E-2</v>
      </c>
      <c r="I33" s="5">
        <v>7.1686945083853995E-2</v>
      </c>
      <c r="J33" s="5">
        <v>7.3209975864843124E-2</v>
      </c>
      <c r="K33" s="5">
        <v>6.9057815845824405E-2</v>
      </c>
      <c r="L33" s="5">
        <v>7.9386257505003333E-2</v>
      </c>
      <c r="M33" s="5">
        <v>5.7441253263707574E-2</v>
      </c>
      <c r="N33" s="5">
        <v>4.2577675489067893E-2</v>
      </c>
      <c r="O33" s="5">
        <v>5.2697616060225848E-2</v>
      </c>
      <c r="P33" s="5">
        <v>4.7879616963064295E-2</v>
      </c>
      <c r="Q33" s="5">
        <v>4.4293015332197615E-2</v>
      </c>
      <c r="R33" s="5">
        <v>4.3841336116910233E-2</v>
      </c>
      <c r="S33" s="5">
        <v>2.4444444444444446E-2</v>
      </c>
      <c r="T33" s="5">
        <v>3.3149171270718231E-2</v>
      </c>
      <c r="U33" s="5">
        <v>5.8823529411764705E-2</v>
      </c>
      <c r="V33" s="58">
        <f t="shared" si="2"/>
        <v>4.0910299315207045E-2</v>
      </c>
      <c r="W33" s="58">
        <f t="shared" si="1"/>
        <v>4.0233756111808933E-2</v>
      </c>
      <c r="X33" s="58">
        <f t="shared" si="1"/>
        <v>3.9512240110788674E-2</v>
      </c>
      <c r="Y33" s="58">
        <f t="shared" si="1"/>
        <v>4.2525799244057513E-2</v>
      </c>
      <c r="Z33" s="58">
        <f t="shared" si="1"/>
        <v>4.4401124838725381E-2</v>
      </c>
      <c r="AA33" s="58">
        <f t="shared" si="1"/>
        <v>4.1516643924117511E-2</v>
      </c>
      <c r="AB33" s="58">
        <f t="shared" si="1"/>
        <v>4.1637912845899606E-2</v>
      </c>
    </row>
    <row r="34" spans="2:28" x14ac:dyDescent="0.2">
      <c r="B34" s="8">
        <v>4</v>
      </c>
      <c r="C34" s="5">
        <v>0.12282608695652174</v>
      </c>
      <c r="D34" s="5">
        <v>0.11878581384543906</v>
      </c>
      <c r="E34" s="5">
        <v>0.11513963743263106</v>
      </c>
      <c r="F34" s="5">
        <v>0.11748281786941581</v>
      </c>
      <c r="G34" s="5">
        <v>0.12849964106245512</v>
      </c>
      <c r="H34" s="5">
        <v>7.2580645161290328E-2</v>
      </c>
      <c r="I34" s="5">
        <v>5.1298914830647815E-2</v>
      </c>
      <c r="J34" s="5">
        <v>6.5969428801287214E-2</v>
      </c>
      <c r="K34" s="5">
        <v>6.2633832976445397E-2</v>
      </c>
      <c r="L34" s="5">
        <v>6.6711140760507007E-2</v>
      </c>
      <c r="M34" s="5">
        <v>7.1366405570060923E-2</v>
      </c>
      <c r="N34" s="5">
        <v>4.9482163406214037E-2</v>
      </c>
      <c r="O34" s="5">
        <v>4.1405269761606023E-2</v>
      </c>
      <c r="P34" s="5">
        <v>5.0615595075239397E-2</v>
      </c>
      <c r="Q34" s="5">
        <v>4.9403747870528106E-2</v>
      </c>
      <c r="R34" s="5">
        <v>3.7578288100208766E-2</v>
      </c>
      <c r="S34" s="5">
        <v>4.6666666666666669E-2</v>
      </c>
      <c r="T34" s="5">
        <v>3.0386740331491711E-2</v>
      </c>
      <c r="U34" s="5">
        <v>3.2352941176470591E-2</v>
      </c>
      <c r="V34" s="58">
        <f t="shared" si="2"/>
        <v>3.9277676829073169E-2</v>
      </c>
      <c r="W34" s="58">
        <f t="shared" si="1"/>
        <v>3.7252462620782176E-2</v>
      </c>
      <c r="X34" s="58">
        <f t="shared" si="1"/>
        <v>3.718729752489687E-2</v>
      </c>
      <c r="Y34" s="58">
        <f t="shared" si="1"/>
        <v>3.5291423696542902E-2</v>
      </c>
      <c r="Z34" s="58">
        <f t="shared" si="1"/>
        <v>3.6272360369553142E-2</v>
      </c>
      <c r="AA34" s="58">
        <f t="shared" si="1"/>
        <v>3.705624420816965E-2</v>
      </c>
      <c r="AB34" s="58">
        <f t="shared" si="1"/>
        <v>3.6611957683988949E-2</v>
      </c>
    </row>
    <row r="35" spans="2:28" x14ac:dyDescent="0.2">
      <c r="B35" s="57">
        <v>5</v>
      </c>
      <c r="C35" s="5">
        <v>7.5905797101449277E-2</v>
      </c>
      <c r="D35" s="5">
        <v>0.10500232306024469</v>
      </c>
      <c r="E35" s="5">
        <v>0.10909684795035114</v>
      </c>
      <c r="F35" s="5">
        <v>0.10760309278350516</v>
      </c>
      <c r="G35" s="5">
        <v>0.10863843024647045</v>
      </c>
      <c r="H35" s="5">
        <v>0.11768219832735961</v>
      </c>
      <c r="I35" s="5">
        <v>6.4781321933574484E-2</v>
      </c>
      <c r="J35" s="5">
        <v>4.8270313757039419E-2</v>
      </c>
      <c r="K35" s="5">
        <v>5.8351177730192723E-2</v>
      </c>
      <c r="L35" s="5">
        <v>5.4703135423615747E-2</v>
      </c>
      <c r="M35" s="5">
        <v>5.6570931244560488E-2</v>
      </c>
      <c r="N35" s="5">
        <v>5.9838895281933258E-2</v>
      </c>
      <c r="O35" s="5">
        <v>5.0188205771643665E-2</v>
      </c>
      <c r="P35" s="5">
        <v>4.240766073871409E-2</v>
      </c>
      <c r="Q35" s="5">
        <v>5.4514480408858604E-2</v>
      </c>
      <c r="R35" s="5">
        <v>4.5929018789144051E-2</v>
      </c>
      <c r="S35" s="5">
        <v>0.04</v>
      </c>
      <c r="T35" s="5">
        <v>5.8011049723756904E-2</v>
      </c>
      <c r="U35" s="5">
        <v>2.9411764705882353E-2</v>
      </c>
      <c r="V35" s="58">
        <f t="shared" si="2"/>
        <v>4.5573262725528384E-2</v>
      </c>
      <c r="W35" s="58">
        <f t="shared" si="1"/>
        <v>4.3785019188862337E-2</v>
      </c>
      <c r="X35" s="58">
        <f t="shared" si="1"/>
        <v>4.3356219268805993E-2</v>
      </c>
      <c r="Y35" s="58">
        <f t="shared" si="1"/>
        <v>4.4027463122567202E-2</v>
      </c>
      <c r="Z35" s="58">
        <f t="shared" si="1"/>
        <v>4.1230745802329258E-2</v>
      </c>
      <c r="AA35" s="58">
        <f t="shared" si="1"/>
        <v>4.3594542021618631E-2</v>
      </c>
      <c r="AB35" s="58">
        <f t="shared" si="1"/>
        <v>4.3198797880836685E-2</v>
      </c>
    </row>
    <row r="36" spans="2:28" x14ac:dyDescent="0.2">
      <c r="B36" s="8">
        <v>6</v>
      </c>
      <c r="C36" s="5">
        <v>4.2753623188405795E-2</v>
      </c>
      <c r="D36" s="5">
        <v>6.4581074802539884E-2</v>
      </c>
      <c r="E36" s="5">
        <v>9.7664543524416142E-2</v>
      </c>
      <c r="F36" s="5">
        <v>0.10309278350515463</v>
      </c>
      <c r="G36" s="5">
        <v>9.9545345776501551E-2</v>
      </c>
      <c r="H36" s="5">
        <v>0.10005973715651136</v>
      </c>
      <c r="I36" s="5">
        <v>0.10720157842814863</v>
      </c>
      <c r="J36" s="5">
        <v>5.6717618664521317E-2</v>
      </c>
      <c r="K36" s="5">
        <v>3.8008565310492508E-2</v>
      </c>
      <c r="L36" s="5">
        <v>5.3368912608405601E-2</v>
      </c>
      <c r="M36" s="5">
        <v>5.0478677110530897E-2</v>
      </c>
      <c r="N36" s="5">
        <v>5.2934407364787113E-2</v>
      </c>
      <c r="O36" s="5">
        <v>5.8971141781681308E-2</v>
      </c>
      <c r="P36" s="5">
        <v>5.0615595075239397E-2</v>
      </c>
      <c r="Q36" s="5">
        <v>4.5996592844974447E-2</v>
      </c>
      <c r="R36" s="5">
        <v>5.2192066805845511E-2</v>
      </c>
      <c r="S36" s="5">
        <v>4.8888888888888891E-2</v>
      </c>
      <c r="T36" s="5">
        <v>4.4198895027624308E-2</v>
      </c>
      <c r="U36" s="5">
        <v>6.1764705882352944E-2</v>
      </c>
      <c r="V36" s="58">
        <f t="shared" si="2"/>
        <v>5.0608229889937226E-2</v>
      </c>
      <c r="W36" s="58">
        <f t="shared" si="1"/>
        <v>5.1530557298929781E-2</v>
      </c>
      <c r="X36" s="58">
        <f t="shared" si="1"/>
        <v>5.1398255397546631E-2</v>
      </c>
      <c r="Y36" s="58">
        <f t="shared" si="1"/>
        <v>5.1900128699278181E-2</v>
      </c>
      <c r="Z36" s="58">
        <f t="shared" si="1"/>
        <v>5.3440375433608953E-2</v>
      </c>
      <c r="AA36" s="58">
        <f t="shared" si="1"/>
        <v>5.177550934386016E-2</v>
      </c>
      <c r="AB36" s="58">
        <f t="shared" si="1"/>
        <v>5.2008965234644745E-2</v>
      </c>
    </row>
    <row r="37" spans="2:28" x14ac:dyDescent="0.2">
      <c r="B37" s="57">
        <v>7</v>
      </c>
      <c r="C37" s="5">
        <v>6.7572463768115945E-2</v>
      </c>
      <c r="D37" s="5">
        <v>3.6549481183212017E-2</v>
      </c>
      <c r="E37" s="5">
        <v>6.0591213457455495E-2</v>
      </c>
      <c r="F37" s="5">
        <v>8.9991408934707903E-2</v>
      </c>
      <c r="G37" s="5">
        <v>9.2366594879157687E-2</v>
      </c>
      <c r="H37" s="5">
        <v>9.4086021505376344E-2</v>
      </c>
      <c r="I37" s="5">
        <v>9.7007563301545544E-2</v>
      </c>
      <c r="J37" s="5">
        <v>9.9758648431214805E-2</v>
      </c>
      <c r="K37" s="5">
        <v>5.0856531049250538E-2</v>
      </c>
      <c r="L37" s="5">
        <v>3.6691127418278853E-2</v>
      </c>
      <c r="M37" s="5">
        <v>4.5256744995648392E-2</v>
      </c>
      <c r="N37" s="5">
        <v>5.5235903337169157E-2</v>
      </c>
      <c r="O37" s="5">
        <v>5.520702634880803E-2</v>
      </c>
      <c r="P37" s="5">
        <v>6.0191518467852256E-2</v>
      </c>
      <c r="Q37" s="5">
        <v>5.4514480408858604E-2</v>
      </c>
      <c r="R37" s="5">
        <v>4.8016701461377868E-2</v>
      </c>
      <c r="S37" s="5">
        <v>5.5555555555555552E-2</v>
      </c>
      <c r="T37" s="5">
        <v>5.2486187845303865E-2</v>
      </c>
      <c r="U37" s="5">
        <v>4.7058823529411764E-2</v>
      </c>
      <c r="V37" s="58">
        <f t="shared" si="2"/>
        <v>5.1526349760101529E-2</v>
      </c>
      <c r="W37" s="58">
        <f t="shared" si="1"/>
        <v>5.0928723630350115E-2</v>
      </c>
      <c r="X37" s="58">
        <f t="shared" si="1"/>
        <v>5.1511128064144575E-2</v>
      </c>
      <c r="Y37" s="58">
        <f t="shared" si="1"/>
        <v>5.0702242565862379E-2</v>
      </c>
      <c r="Z37" s="58">
        <f t="shared" si="1"/>
        <v>5.0345453509974068E-2</v>
      </c>
      <c r="AA37" s="58">
        <f t="shared" si="1"/>
        <v>5.1002779506086525E-2</v>
      </c>
      <c r="AB37" s="58">
        <f t="shared" si="1"/>
        <v>5.0898065455283539E-2</v>
      </c>
    </row>
    <row r="38" spans="2:28" x14ac:dyDescent="0.2">
      <c r="B38" s="8">
        <v>8</v>
      </c>
      <c r="C38" s="5">
        <v>5.1086956521739134E-2</v>
      </c>
      <c r="D38" s="5">
        <v>5.7611894068452844E-2</v>
      </c>
      <c r="E38" s="5">
        <v>3.3153682835211501E-2</v>
      </c>
      <c r="F38" s="5">
        <v>5.3264604810996562E-2</v>
      </c>
      <c r="G38" s="5">
        <v>8.1359176836563768E-2</v>
      </c>
      <c r="H38" s="5">
        <v>8.8112305854241332E-2</v>
      </c>
      <c r="I38" s="5">
        <v>8.9444261756001314E-2</v>
      </c>
      <c r="J38" s="5">
        <v>9.1713596138374903E-2</v>
      </c>
      <c r="K38" s="5">
        <v>9.2612419700214138E-2</v>
      </c>
      <c r="L38" s="5">
        <v>4.7364909939959975E-2</v>
      </c>
      <c r="M38" s="5">
        <v>3.8294168842471714E-2</v>
      </c>
      <c r="N38" s="5">
        <v>5.2934407364787113E-2</v>
      </c>
      <c r="O38" s="5">
        <v>5.0188205771643665E-2</v>
      </c>
      <c r="P38" s="5">
        <v>5.1983584131326949E-2</v>
      </c>
      <c r="Q38" s="5">
        <v>6.8143100511073251E-2</v>
      </c>
      <c r="R38" s="5">
        <v>5.2192066805845511E-2</v>
      </c>
      <c r="S38" s="5">
        <v>4.8888888888888891E-2</v>
      </c>
      <c r="T38" s="5">
        <v>6.3535911602209949E-2</v>
      </c>
      <c r="U38" s="5">
        <v>5.5882352941176473E-2</v>
      </c>
      <c r="V38" s="58">
        <f t="shared" si="2"/>
        <v>5.7728464149838822E-2</v>
      </c>
      <c r="W38" s="58">
        <f t="shared" si="1"/>
        <v>5.5645536877591925E-2</v>
      </c>
      <c r="X38" s="58">
        <f t="shared" si="1"/>
        <v>5.6336230891941209E-2</v>
      </c>
      <c r="Y38" s="58">
        <f t="shared" si="1"/>
        <v>5.7825699292551679E-2</v>
      </c>
      <c r="Z38" s="58">
        <f t="shared" si="1"/>
        <v>5.6683656830620023E-2</v>
      </c>
      <c r="AA38" s="58">
        <f t="shared" si="1"/>
        <v>5.684391760850873E-2</v>
      </c>
      <c r="AB38" s="58">
        <f t="shared" si="1"/>
        <v>5.6667008300242717E-2</v>
      </c>
    </row>
    <row r="39" spans="2:28" x14ac:dyDescent="0.2">
      <c r="B39" s="57">
        <v>9</v>
      </c>
      <c r="C39" s="5">
        <v>4.7644927536231882E-2</v>
      </c>
      <c r="D39" s="5">
        <v>4.3673532600278765E-2</v>
      </c>
      <c r="E39" s="5">
        <v>5.1445369916707499E-2</v>
      </c>
      <c r="F39" s="5">
        <v>3.3290378006872852E-2</v>
      </c>
      <c r="G39" s="5">
        <v>4.9054797798516389E-2</v>
      </c>
      <c r="H39" s="5">
        <v>7.3775388291517321E-2</v>
      </c>
      <c r="I39" s="5">
        <v>7.7606050641236435E-2</v>
      </c>
      <c r="J39" s="5">
        <v>8.8093322606596941E-2</v>
      </c>
      <c r="K39" s="5">
        <v>9.1541755888650961E-2</v>
      </c>
      <c r="L39" s="5">
        <v>9.13942628418946E-2</v>
      </c>
      <c r="M39" s="5">
        <v>4.4386422976501305E-2</v>
      </c>
      <c r="N39" s="5">
        <v>3.6823935558112773E-2</v>
      </c>
      <c r="O39" s="5">
        <v>5.6461731493099125E-2</v>
      </c>
      <c r="P39" s="5">
        <v>5.4719562243502051E-2</v>
      </c>
      <c r="Q39" s="5">
        <v>5.9625212947189095E-2</v>
      </c>
      <c r="R39" s="5">
        <v>7.3068893528183715E-2</v>
      </c>
      <c r="S39" s="5">
        <v>5.5555555555555552E-2</v>
      </c>
      <c r="T39" s="5">
        <v>5.5248618784530384E-2</v>
      </c>
      <c r="U39" s="5">
        <v>6.7647058823529407E-2</v>
      </c>
      <c r="V39" s="58">
        <f t="shared" si="2"/>
        <v>6.2229067927797629E-2</v>
      </c>
      <c r="W39" s="58">
        <f t="shared" si="1"/>
        <v>6.2749838923919346E-2</v>
      </c>
      <c r="X39" s="58">
        <f t="shared" si="1"/>
        <v>6.068602800306646E-2</v>
      </c>
      <c r="Y39" s="58">
        <f t="shared" si="1"/>
        <v>6.1712122492568647E-2</v>
      </c>
      <c r="Z39" s="58">
        <f t="shared" si="1"/>
        <v>6.3004823234176291E-2</v>
      </c>
      <c r="AA39" s="58">
        <f t="shared" si="1"/>
        <v>6.2076376116305676E-2</v>
      </c>
      <c r="AB39" s="58">
        <f t="shared" si="1"/>
        <v>6.204583775400728E-2</v>
      </c>
    </row>
    <row r="40" spans="2:28" x14ac:dyDescent="0.2">
      <c r="B40" s="8">
        <v>10</v>
      </c>
      <c r="C40" s="5">
        <v>3.6594202898550726E-2</v>
      </c>
      <c r="D40" s="5">
        <v>4.073098962366424E-2</v>
      </c>
      <c r="E40" s="5">
        <v>4.1482933202678422E-2</v>
      </c>
      <c r="F40" s="5">
        <v>4.7250859106529208E-2</v>
      </c>
      <c r="G40" s="5">
        <v>3.0390045465422351E-2</v>
      </c>
      <c r="H40" s="5">
        <v>4.8088410991636799E-2</v>
      </c>
      <c r="I40" s="5">
        <v>7.1686945083853995E-2</v>
      </c>
      <c r="J40" s="5">
        <v>7.2405470635559133E-2</v>
      </c>
      <c r="K40" s="5">
        <v>9.0471092077087797E-2</v>
      </c>
      <c r="L40" s="5">
        <v>9.2061374249499672E-2</v>
      </c>
      <c r="M40" s="5">
        <v>9.0513489991296783E-2</v>
      </c>
      <c r="N40" s="5">
        <v>4.1426927502876867E-2</v>
      </c>
      <c r="O40" s="5">
        <v>3.889585947302384E-2</v>
      </c>
      <c r="P40" s="5">
        <v>5.7455540355677154E-2</v>
      </c>
      <c r="Q40" s="5">
        <v>6.1328790459965928E-2</v>
      </c>
      <c r="R40" s="5">
        <v>6.2630480167014613E-2</v>
      </c>
      <c r="S40" s="5">
        <v>7.5555555555555556E-2</v>
      </c>
      <c r="T40" s="5">
        <v>6.6298342541436461E-2</v>
      </c>
      <c r="U40" s="5">
        <v>5.5882352941176473E-2</v>
      </c>
      <c r="V40" s="58">
        <f t="shared" si="2"/>
        <v>6.4339104333029806E-2</v>
      </c>
      <c r="W40" s="58">
        <f t="shared" si="1"/>
        <v>6.4941167107642583E-2</v>
      </c>
      <c r="X40" s="58">
        <f t="shared" si="1"/>
        <v>6.5403304495768172E-2</v>
      </c>
      <c r="Y40" s="58">
        <f t="shared" si="1"/>
        <v>6.3372854283810703E-2</v>
      </c>
      <c r="Z40" s="58">
        <f t="shared" si="1"/>
        <v>6.2787756632285557E-2</v>
      </c>
      <c r="AA40" s="58">
        <f t="shared" si="1"/>
        <v>6.4168837370507353E-2</v>
      </c>
      <c r="AB40" s="58">
        <f t="shared" si="1"/>
        <v>6.4134783978002874E-2</v>
      </c>
    </row>
    <row r="41" spans="2:28" x14ac:dyDescent="0.2">
      <c r="B41" s="57">
        <v>11</v>
      </c>
      <c r="C41" s="5">
        <v>2.8804347826086957E-2</v>
      </c>
      <c r="D41" s="5">
        <v>3.1129007278922101E-2</v>
      </c>
      <c r="E41" s="5">
        <v>3.8379879144210358E-2</v>
      </c>
      <c r="F41" s="5">
        <v>4.0378006872852236E-2</v>
      </c>
      <c r="G41" s="5">
        <v>4.4508255563531947E-2</v>
      </c>
      <c r="H41" s="5">
        <v>2.8375149342891277E-2</v>
      </c>
      <c r="I41" s="5">
        <v>4.5050970075633016E-2</v>
      </c>
      <c r="J41" s="5">
        <v>6.5567176186645218E-2</v>
      </c>
      <c r="K41" s="5">
        <v>7.5481798715203427E-2</v>
      </c>
      <c r="L41" s="5">
        <v>8.9392928619079381E-2</v>
      </c>
      <c r="M41" s="5">
        <v>9.921671018276762E-2</v>
      </c>
      <c r="N41" s="5">
        <v>8.6306098964326811E-2</v>
      </c>
      <c r="O41" s="5">
        <v>4.1405269761606023E-2</v>
      </c>
      <c r="P41" s="5">
        <v>3.9671682626538987E-2</v>
      </c>
      <c r="Q41" s="5">
        <v>5.6218057921635436E-2</v>
      </c>
      <c r="R41" s="5">
        <v>6.471816283924843E-2</v>
      </c>
      <c r="S41" s="5">
        <v>6.4444444444444443E-2</v>
      </c>
      <c r="T41" s="5">
        <v>7.4585635359116026E-2</v>
      </c>
      <c r="U41" s="5">
        <v>7.0588235294117646E-2</v>
      </c>
      <c r="V41" s="58">
        <f t="shared" si="2"/>
        <v>6.6110907171712391E-2</v>
      </c>
      <c r="W41" s="58">
        <f t="shared" si="1"/>
        <v>6.8089477021727782E-2</v>
      </c>
      <c r="X41" s="58">
        <f t="shared" si="1"/>
        <v>6.8763739858223663E-2</v>
      </c>
      <c r="Y41" s="58">
        <f t="shared" si="1"/>
        <v>6.9627598940979502E-2</v>
      </c>
      <c r="Z41" s="58">
        <f t="shared" si="1"/>
        <v>6.8635991657352194E-2</v>
      </c>
      <c r="AA41" s="58">
        <f t="shared" si="1"/>
        <v>6.8245542929999098E-2</v>
      </c>
      <c r="AB41" s="58">
        <f t="shared" si="1"/>
        <v>6.8672470081656445E-2</v>
      </c>
    </row>
    <row r="42" spans="2:28" x14ac:dyDescent="0.2">
      <c r="B42" s="8">
        <v>12</v>
      </c>
      <c r="C42" s="5">
        <v>2.753623188405797E-2</v>
      </c>
      <c r="D42" s="5">
        <v>2.4314697227814774E-2</v>
      </c>
      <c r="E42" s="5">
        <v>2.6947574718275354E-2</v>
      </c>
      <c r="F42" s="5">
        <v>3.4149484536082471E-2</v>
      </c>
      <c r="G42" s="5">
        <v>3.8286671452500601E-2</v>
      </c>
      <c r="H42" s="5">
        <v>3.9725209080047792E-2</v>
      </c>
      <c r="I42" s="5">
        <v>2.5978296612956264E-2</v>
      </c>
      <c r="J42" s="5">
        <v>4.3845534995977473E-2</v>
      </c>
      <c r="K42" s="5">
        <v>6.5845824411134901E-2</v>
      </c>
      <c r="L42" s="5">
        <v>7.3382254836557706E-2</v>
      </c>
      <c r="M42" s="5">
        <v>8.964316797214969E-2</v>
      </c>
      <c r="N42" s="5">
        <v>0.10701956271576525</v>
      </c>
      <c r="O42" s="5">
        <v>8.9084065244667499E-2</v>
      </c>
      <c r="P42" s="5">
        <v>4.5143638850889192E-2</v>
      </c>
      <c r="Q42" s="5">
        <v>4.0885860306643949E-2</v>
      </c>
      <c r="R42" s="5">
        <v>5.845511482254697E-2</v>
      </c>
      <c r="S42" s="5">
        <v>6.4444444444444443E-2</v>
      </c>
      <c r="T42" s="5">
        <v>7.18232044198895E-2</v>
      </c>
      <c r="U42" s="5">
        <v>7.9411764705882348E-2</v>
      </c>
      <c r="V42" s="58">
        <f t="shared" si="2"/>
        <v>6.3004077739881439E-2</v>
      </c>
      <c r="W42" s="58">
        <f t="shared" si="1"/>
        <v>6.7427721226528931E-2</v>
      </c>
      <c r="X42" s="58">
        <f t="shared" si="1"/>
        <v>6.9222242507325338E-2</v>
      </c>
      <c r="Y42" s="58">
        <f t="shared" si="1"/>
        <v>7.0177802119901503E-2</v>
      </c>
      <c r="Z42" s="58">
        <f t="shared" si="1"/>
        <v>6.9848721659903912E-2</v>
      </c>
      <c r="AA42" s="58">
        <f t="shared" si="1"/>
        <v>6.7936113050708222E-2</v>
      </c>
      <c r="AB42" s="58">
        <f t="shared" si="1"/>
        <v>6.8922520112873586E-2</v>
      </c>
    </row>
    <row r="43" spans="2:28" x14ac:dyDescent="0.2">
      <c r="B43" s="57">
        <v>13</v>
      </c>
      <c r="C43" s="5">
        <v>1.9927536231884056E-2</v>
      </c>
      <c r="D43" s="5">
        <v>2.3540343812916215E-2</v>
      </c>
      <c r="E43" s="5">
        <v>2.1231422505307854E-2</v>
      </c>
      <c r="F43" s="5">
        <v>2.5128865979381444E-2</v>
      </c>
      <c r="G43" s="5">
        <v>3.1107920555156737E-2</v>
      </c>
      <c r="H43" s="5">
        <v>3.7933094384707287E-2</v>
      </c>
      <c r="I43" s="5">
        <v>3.5185794146662279E-2</v>
      </c>
      <c r="J43" s="5">
        <v>2.4537409493161706E-2</v>
      </c>
      <c r="K43" s="5">
        <v>4.6573875802997856E-2</v>
      </c>
      <c r="L43" s="5">
        <v>6.1374249499666446E-2</v>
      </c>
      <c r="M43" s="5">
        <v>7.0496083550913843E-2</v>
      </c>
      <c r="N43" s="5">
        <v>8.5155350978135785E-2</v>
      </c>
      <c r="O43" s="5">
        <v>0.11041405269761606</v>
      </c>
      <c r="P43" s="5">
        <v>8.6183310533515731E-2</v>
      </c>
      <c r="Q43" s="5">
        <v>5.1107325383304938E-2</v>
      </c>
      <c r="R43" s="5">
        <v>4.3841336116910233E-2</v>
      </c>
      <c r="S43" s="5">
        <v>0.06</v>
      </c>
      <c r="T43" s="5">
        <v>7.18232044198895E-2</v>
      </c>
      <c r="U43" s="5">
        <v>7.3529411764705885E-2</v>
      </c>
      <c r="V43" s="58">
        <f t="shared" si="2"/>
        <v>6.0060255536962114E-2</v>
      </c>
      <c r="W43" s="58">
        <f t="shared" si="1"/>
        <v>6.1850841567693549E-2</v>
      </c>
      <c r="X43" s="58">
        <f t="shared" si="1"/>
        <v>6.5452742657850199E-2</v>
      </c>
      <c r="Y43" s="58">
        <f t="shared" si="1"/>
        <v>6.6543291189420234E-2</v>
      </c>
      <c r="Z43" s="58">
        <f t="shared" si="1"/>
        <v>6.5487308543326406E-2</v>
      </c>
      <c r="AA43" s="58">
        <f t="shared" si="1"/>
        <v>6.3878887899050496E-2</v>
      </c>
      <c r="AB43" s="58">
        <f t="shared" si="1"/>
        <v>6.4642614371468177E-2</v>
      </c>
    </row>
    <row r="44" spans="2:28" x14ac:dyDescent="0.2">
      <c r="B44" s="8">
        <v>14</v>
      </c>
      <c r="C44" s="5">
        <v>1.5579710144927537E-2</v>
      </c>
      <c r="D44" s="5">
        <v>1.7035775127768313E-2</v>
      </c>
      <c r="E44" s="5">
        <v>2.0414829332026783E-2</v>
      </c>
      <c r="F44" s="5">
        <v>1.8900343642611683E-2</v>
      </c>
      <c r="G44" s="5">
        <v>2.0339794209140942E-2</v>
      </c>
      <c r="H44" s="5">
        <v>2.8673835125448029E-2</v>
      </c>
      <c r="I44" s="5">
        <v>3.5843472541926998E-2</v>
      </c>
      <c r="J44" s="5">
        <v>3.0973451327433628E-2</v>
      </c>
      <c r="K44" s="5">
        <v>2.569593147751606E-2</v>
      </c>
      <c r="L44" s="5">
        <v>4.803202134756504E-2</v>
      </c>
      <c r="M44" s="5">
        <v>5.918189730200174E-2</v>
      </c>
      <c r="N44" s="5">
        <v>7.5949367088607597E-2</v>
      </c>
      <c r="O44" s="5">
        <v>8.4065244667503133E-2</v>
      </c>
      <c r="P44" s="5">
        <v>0.1094391244870041</v>
      </c>
      <c r="Q44" s="5">
        <v>8.6882453151618397E-2</v>
      </c>
      <c r="R44" s="5">
        <v>5.2192066805845511E-2</v>
      </c>
      <c r="S44" s="5">
        <v>4.2222222222222223E-2</v>
      </c>
      <c r="T44" s="5">
        <v>5.8011049723756904E-2</v>
      </c>
      <c r="U44" s="5">
        <v>7.6470588235294124E-2</v>
      </c>
      <c r="V44" s="58">
        <f t="shared" si="2"/>
        <v>6.3155676027747437E-2</v>
      </c>
      <c r="W44" s="58">
        <f t="shared" si="1"/>
        <v>5.8410320602973242E-2</v>
      </c>
      <c r="X44" s="58">
        <f t="shared" si="1"/>
        <v>5.9653971362398785E-2</v>
      </c>
      <c r="Y44" s="58">
        <f t="shared" si="1"/>
        <v>6.3140321190434098E-2</v>
      </c>
      <c r="Z44" s="58">
        <f t="shared" si="1"/>
        <v>6.4166175483769544E-2</v>
      </c>
      <c r="AA44" s="58">
        <f t="shared" si="1"/>
        <v>6.1705292933464627E-2</v>
      </c>
      <c r="AB44" s="58">
        <f t="shared" si="1"/>
        <v>6.1415216314608057E-2</v>
      </c>
    </row>
    <row r="45" spans="2:28" x14ac:dyDescent="0.2">
      <c r="B45" s="57">
        <v>15</v>
      </c>
      <c r="C45" s="5">
        <v>1.6123188405797101E-2</v>
      </c>
      <c r="D45" s="5">
        <v>1.3318878736255226E-2</v>
      </c>
      <c r="E45" s="5">
        <v>1.4372039849746856E-2</v>
      </c>
      <c r="F45" s="5">
        <v>1.5893470790378006E-2</v>
      </c>
      <c r="G45" s="5">
        <v>1.5314668581000239E-2</v>
      </c>
      <c r="H45" s="5">
        <v>1.8518518518518517E-2</v>
      </c>
      <c r="I45" s="5">
        <v>2.4662939822426833E-2</v>
      </c>
      <c r="J45" s="5">
        <v>3.2582461786001611E-2</v>
      </c>
      <c r="K45" s="5">
        <v>2.7301927194860815E-2</v>
      </c>
      <c r="L45" s="5">
        <v>2.2014676450967312E-2</v>
      </c>
      <c r="M45" s="5">
        <v>4.8738033072236731E-2</v>
      </c>
      <c r="N45" s="5">
        <v>5.4085155350978138E-2</v>
      </c>
      <c r="O45" s="5">
        <v>7.4027603513174403E-2</v>
      </c>
      <c r="P45" s="5">
        <v>7.7975376196990423E-2</v>
      </c>
      <c r="Q45" s="5">
        <v>0.10221465076660988</v>
      </c>
      <c r="R45" s="5">
        <v>9.6033402922755737E-2</v>
      </c>
      <c r="S45" s="5">
        <v>5.1111111111111114E-2</v>
      </c>
      <c r="T45" s="5">
        <v>4.1436464088397788E-2</v>
      </c>
      <c r="U45" s="5">
        <v>0.05</v>
      </c>
      <c r="V45" s="58">
        <f t="shared" si="2"/>
        <v>6.8159125777774901E-2</v>
      </c>
      <c r="W45" s="58">
        <f t="shared" si="1"/>
        <v>6.1348020780007909E-2</v>
      </c>
      <c r="X45" s="58">
        <f t="shared" si="1"/>
        <v>5.4410944351458337E-2</v>
      </c>
      <c r="Y45" s="58">
        <f t="shared" si="1"/>
        <v>5.5070910999527781E-2</v>
      </c>
      <c r="Z45" s="58">
        <f t="shared" si="1"/>
        <v>5.7797800381753785E-2</v>
      </c>
      <c r="AA45" s="58">
        <f t="shared" si="1"/>
        <v>5.9357360458104545E-2</v>
      </c>
      <c r="AB45" s="58">
        <f t="shared" si="1"/>
        <v>5.7597007394170473E-2</v>
      </c>
    </row>
    <row r="46" spans="2:28" x14ac:dyDescent="0.2">
      <c r="B46" s="8">
        <v>16</v>
      </c>
      <c r="C46" s="5">
        <v>7.0652173913043478E-3</v>
      </c>
      <c r="D46" s="5">
        <v>1.3318878736255226E-2</v>
      </c>
      <c r="E46" s="5">
        <v>1.02890739833415E-2</v>
      </c>
      <c r="F46" s="5">
        <v>1.0738831615120275E-2</v>
      </c>
      <c r="G46" s="5">
        <v>1.340033500837521E-2</v>
      </c>
      <c r="H46" s="5">
        <v>1.2843488649940263E-2</v>
      </c>
      <c r="I46" s="5">
        <v>1.4797763893456099E-2</v>
      </c>
      <c r="J46" s="5">
        <v>2.0112630732099759E-2</v>
      </c>
      <c r="K46" s="5">
        <v>2.9978586723768737E-2</v>
      </c>
      <c r="L46" s="5">
        <v>2.401601067378252E-2</v>
      </c>
      <c r="M46" s="5">
        <v>1.9147084421235857E-2</v>
      </c>
      <c r="N46" s="5">
        <v>4.1426927502876867E-2</v>
      </c>
      <c r="O46" s="5">
        <v>4.51693851944793E-2</v>
      </c>
      <c r="P46" s="5">
        <v>6.7031463748290013E-2</v>
      </c>
      <c r="Q46" s="5">
        <v>7.1550255536626917E-2</v>
      </c>
      <c r="R46" s="5">
        <v>0.10020876826722339</v>
      </c>
      <c r="S46" s="5">
        <v>8.666666666666667E-2</v>
      </c>
      <c r="T46" s="5">
        <v>4.4198895027624308E-2</v>
      </c>
      <c r="U46" s="5">
        <v>4.4117647058823532E-2</v>
      </c>
      <c r="V46" s="58">
        <f t="shared" si="2"/>
        <v>6.9348446511392964E-2</v>
      </c>
      <c r="W46" s="58">
        <f t="shared" si="1"/>
        <v>6.890808470634617E-2</v>
      </c>
      <c r="X46" s="58">
        <f t="shared" si="1"/>
        <v>6.2647947994170727E-2</v>
      </c>
      <c r="Y46" s="58">
        <f t="shared" si="1"/>
        <v>5.7844204259671538E-2</v>
      </c>
      <c r="Z46" s="58">
        <f t="shared" si="1"/>
        <v>6.0573266106080978E-2</v>
      </c>
      <c r="AA46" s="58">
        <f t="shared" si="1"/>
        <v>6.3864389915532477E-2</v>
      </c>
      <c r="AB46" s="58">
        <f t="shared" si="1"/>
        <v>6.2767578596360368E-2</v>
      </c>
    </row>
    <row r="47" spans="2:28" x14ac:dyDescent="0.2">
      <c r="B47" s="57">
        <v>17</v>
      </c>
      <c r="C47" s="5">
        <v>2.5362318840579708E-3</v>
      </c>
      <c r="D47" s="5">
        <v>5.5753445872696299E-3</v>
      </c>
      <c r="E47" s="5">
        <v>8.6558876367793559E-3</v>
      </c>
      <c r="F47" s="5">
        <v>6.4432989690721646E-3</v>
      </c>
      <c r="G47" s="5">
        <v>9.3323761665470208E-3</v>
      </c>
      <c r="H47" s="5">
        <v>9.8566308243727592E-3</v>
      </c>
      <c r="I47" s="5">
        <v>1.0194015126603092E-2</v>
      </c>
      <c r="J47" s="5">
        <v>1.0056315366049879E-2</v>
      </c>
      <c r="K47" s="5">
        <v>1.980728051391863E-2</v>
      </c>
      <c r="L47" s="5">
        <v>2.6017344896597731E-2</v>
      </c>
      <c r="M47" s="5">
        <v>1.8276762402088774E-2</v>
      </c>
      <c r="N47" s="5">
        <v>1.611047180667434E-2</v>
      </c>
      <c r="O47" s="5">
        <v>3.5131744040150563E-2</v>
      </c>
      <c r="P47" s="5">
        <v>3.5567715458276333E-2</v>
      </c>
      <c r="Q47" s="5">
        <v>5.2810902896081771E-2</v>
      </c>
      <c r="R47" s="5">
        <v>5.2192066805845511E-2</v>
      </c>
      <c r="S47" s="5">
        <v>8.666666666666667E-2</v>
      </c>
      <c r="T47" s="5">
        <v>5.2486187845303865E-2</v>
      </c>
      <c r="U47" s="5">
        <v>2.9411764705882353E-2</v>
      </c>
      <c r="V47" s="58">
        <f t="shared" si="2"/>
        <v>5.4713517783956035E-2</v>
      </c>
      <c r="W47" s="58">
        <f t="shared" si="2"/>
        <v>5.5094040761530891E-2</v>
      </c>
      <c r="X47" s="58">
        <f t="shared" si="2"/>
        <v>5.5674435552667968E-2</v>
      </c>
      <c r="Y47" s="58">
        <f t="shared" si="2"/>
        <v>4.9475989329868228E-2</v>
      </c>
      <c r="Z47" s="58">
        <f t="shared" si="2"/>
        <v>4.8873949626781085E-2</v>
      </c>
      <c r="AA47" s="58">
        <f t="shared" si="2"/>
        <v>5.276638661096085E-2</v>
      </c>
      <c r="AB47" s="58">
        <f t="shared" si="2"/>
        <v>5.2376960376361803E-2</v>
      </c>
    </row>
    <row r="48" spans="2:28" x14ac:dyDescent="0.2">
      <c r="B48" s="8">
        <v>18</v>
      </c>
      <c r="C48" s="5">
        <v>2.717391304347826E-3</v>
      </c>
      <c r="D48" s="5">
        <v>2.0133188787362553E-3</v>
      </c>
      <c r="E48" s="5">
        <v>3.2663726931242854E-3</v>
      </c>
      <c r="F48" s="5">
        <v>4.2955326460481103E-3</v>
      </c>
      <c r="G48" s="5">
        <v>5.7430007178750899E-3</v>
      </c>
      <c r="H48" s="5">
        <v>5.3763440860215058E-3</v>
      </c>
      <c r="I48" s="5">
        <v>7.5633015455442293E-3</v>
      </c>
      <c r="J48" s="5">
        <v>6.8382944489139182E-3</v>
      </c>
      <c r="K48" s="5">
        <v>9.1006423982869372E-3</v>
      </c>
      <c r="L48" s="5">
        <v>1.2675116744496331E-2</v>
      </c>
      <c r="M48" s="5">
        <v>2.0887728459530026E-2</v>
      </c>
      <c r="N48" s="5">
        <v>1.4959723820483314E-2</v>
      </c>
      <c r="O48" s="5">
        <v>1.2547051442910916E-2</v>
      </c>
      <c r="P48" s="5">
        <v>3.2831737346101231E-2</v>
      </c>
      <c r="Q48" s="5">
        <v>1.7035775127768313E-2</v>
      </c>
      <c r="R48" s="5">
        <v>4.8016701461377868E-2</v>
      </c>
      <c r="S48" s="5">
        <v>3.7777777777777778E-2</v>
      </c>
      <c r="T48" s="5">
        <v>5.8011049723756904E-2</v>
      </c>
      <c r="U48" s="5">
        <v>4.1176470588235294E-2</v>
      </c>
      <c r="V48" s="58">
        <f t="shared" si="2"/>
        <v>4.0403554935783223E-2</v>
      </c>
      <c r="W48" s="58">
        <f t="shared" si="2"/>
        <v>4.5077110897386211E-2</v>
      </c>
      <c r="X48" s="58">
        <f t="shared" si="2"/>
        <v>4.4489192784587885E-2</v>
      </c>
      <c r="Y48" s="58">
        <f t="shared" si="2"/>
        <v>4.5831475785949899E-2</v>
      </c>
      <c r="Z48" s="58">
        <f t="shared" si="2"/>
        <v>4.3395560998388504E-2</v>
      </c>
      <c r="AA48" s="58">
        <f t="shared" si="2"/>
        <v>4.3839379080419141E-2</v>
      </c>
      <c r="AB48" s="58">
        <f t="shared" si="2"/>
        <v>4.4526543909346329E-2</v>
      </c>
    </row>
    <row r="49" spans="2:28" x14ac:dyDescent="0.2">
      <c r="B49" s="57">
        <v>19</v>
      </c>
      <c r="C49" s="5">
        <v>1.2681159420289854E-3</v>
      </c>
      <c r="D49" s="5">
        <v>1.8584481957565433E-3</v>
      </c>
      <c r="E49" s="5">
        <v>1.3065490772497142E-3</v>
      </c>
      <c r="F49" s="5">
        <v>6.4432989690721648E-4</v>
      </c>
      <c r="G49" s="5">
        <v>2.632208662359416E-3</v>
      </c>
      <c r="H49" s="5">
        <v>4.4802867383512543E-3</v>
      </c>
      <c r="I49" s="5">
        <v>2.6307135810588623E-3</v>
      </c>
      <c r="J49" s="5">
        <v>3.6202735317779565E-3</v>
      </c>
      <c r="K49" s="5">
        <v>4.2826552462526769E-3</v>
      </c>
      <c r="L49" s="5">
        <v>4.6697798532354907E-3</v>
      </c>
      <c r="M49" s="5">
        <v>8.7032201914708437E-3</v>
      </c>
      <c r="N49" s="5">
        <v>1.611047180667434E-2</v>
      </c>
      <c r="O49" s="5">
        <v>8.7829360100376407E-3</v>
      </c>
      <c r="P49" s="5">
        <v>8.2079343365253077E-3</v>
      </c>
      <c r="Q49" s="5">
        <v>1.3628620102214651E-2</v>
      </c>
      <c r="R49" s="5">
        <v>1.0438413361169102E-2</v>
      </c>
      <c r="S49" s="5">
        <v>2.6666666666666668E-2</v>
      </c>
      <c r="T49" s="5">
        <v>2.2099447513812154E-2</v>
      </c>
      <c r="U49" s="5">
        <v>3.5294117647058823E-2</v>
      </c>
      <c r="V49" s="58">
        <f t="shared" si="2"/>
        <v>2.162545305818428E-2</v>
      </c>
      <c r="W49" s="58">
        <f t="shared" si="2"/>
        <v>2.3224819649378205E-2</v>
      </c>
      <c r="X49" s="58">
        <f t="shared" si="2"/>
        <v>2.5782100907020027E-2</v>
      </c>
      <c r="Y49" s="58">
        <f t="shared" si="2"/>
        <v>2.5605187755090696E-2</v>
      </c>
      <c r="Z49" s="58">
        <f t="shared" si="2"/>
        <v>2.630633580334641E-2</v>
      </c>
      <c r="AA49" s="58">
        <f t="shared" si="2"/>
        <v>2.4508779434603924E-2</v>
      </c>
      <c r="AB49" s="58">
        <f t="shared" si="2"/>
        <v>2.5085444709887848E-2</v>
      </c>
    </row>
    <row r="50" spans="2:28" x14ac:dyDescent="0.2">
      <c r="B50" s="8">
        <v>20</v>
      </c>
      <c r="C50" s="5">
        <v>7.246376811594203E-4</v>
      </c>
      <c r="D50" s="5">
        <v>9.2922409787827166E-4</v>
      </c>
      <c r="E50" s="5">
        <v>1.1432304425934999E-3</v>
      </c>
      <c r="F50" s="5">
        <v>2.1477663230240549E-4</v>
      </c>
      <c r="G50" s="5">
        <v>0</v>
      </c>
      <c r="H50" s="5">
        <v>1.1947431302270011E-3</v>
      </c>
      <c r="I50" s="5">
        <v>3.2883919763235779E-3</v>
      </c>
      <c r="J50" s="5">
        <v>8.045052292839903E-4</v>
      </c>
      <c r="K50" s="5">
        <v>2.1413276231263384E-3</v>
      </c>
      <c r="L50" s="5">
        <v>1.33422281521014E-3</v>
      </c>
      <c r="M50" s="5">
        <v>2.6109660574412533E-3</v>
      </c>
      <c r="N50" s="5">
        <v>3.4522439585730723E-3</v>
      </c>
      <c r="O50" s="5">
        <v>1.1292346298619825E-2</v>
      </c>
      <c r="P50" s="5">
        <v>4.1039671682626538E-3</v>
      </c>
      <c r="Q50" s="5">
        <v>5.1107325383304937E-3</v>
      </c>
      <c r="R50" s="5">
        <v>2.0876826722338203E-3</v>
      </c>
      <c r="S50" s="5">
        <v>4.4444444444444444E-3</v>
      </c>
      <c r="T50" s="5">
        <v>1.1049723756906077E-2</v>
      </c>
      <c r="U50" s="5">
        <v>1.7647058823529412E-2</v>
      </c>
      <c r="V50" s="58">
        <f t="shared" si="2"/>
        <v>8.0679284470888488E-3</v>
      </c>
      <c r="W50" s="58">
        <f t="shared" si="2"/>
        <v>8.659367628840519E-3</v>
      </c>
      <c r="X50" s="58">
        <f t="shared" si="2"/>
        <v>9.973704620161861E-3</v>
      </c>
      <c r="Y50" s="58">
        <f t="shared" si="2"/>
        <v>1.1079556655305344E-2</v>
      </c>
      <c r="Z50" s="58">
        <f t="shared" si="2"/>
        <v>1.1085523234985196E-2</v>
      </c>
      <c r="AA50" s="58">
        <f t="shared" si="2"/>
        <v>9.7732161172763531E-3</v>
      </c>
      <c r="AB50" s="58">
        <f t="shared" si="2"/>
        <v>1.0114273651313854E-2</v>
      </c>
    </row>
    <row r="51" spans="2:28" x14ac:dyDescent="0.2">
      <c r="V51" s="5"/>
    </row>
    <row r="52" spans="2:28" x14ac:dyDescent="0.2">
      <c r="B52" s="26" t="s">
        <v>202</v>
      </c>
    </row>
    <row r="53" spans="2:28" x14ac:dyDescent="0.2">
      <c r="B53" s="8" t="s">
        <v>201</v>
      </c>
      <c r="C53" s="8">
        <v>1995</v>
      </c>
      <c r="D53" s="8">
        <v>1996</v>
      </c>
      <c r="E53" s="8">
        <v>1997</v>
      </c>
      <c r="F53" s="8">
        <v>1998</v>
      </c>
      <c r="G53" s="8">
        <v>1999</v>
      </c>
      <c r="H53" s="8">
        <v>2000</v>
      </c>
      <c r="I53" s="8">
        <v>2001</v>
      </c>
      <c r="J53" s="8">
        <v>2002</v>
      </c>
      <c r="K53" s="8">
        <v>2003</v>
      </c>
      <c r="L53" s="8">
        <v>2004</v>
      </c>
      <c r="M53" s="8">
        <v>2005</v>
      </c>
      <c r="N53" s="8">
        <v>2006</v>
      </c>
      <c r="O53" s="8">
        <v>2007</v>
      </c>
      <c r="P53" s="8">
        <v>2008</v>
      </c>
      <c r="Q53" s="8">
        <v>2009</v>
      </c>
      <c r="R53" s="8">
        <v>2010</v>
      </c>
      <c r="S53" s="8">
        <v>2011</v>
      </c>
      <c r="T53" s="8">
        <v>2012</v>
      </c>
      <c r="U53" s="8">
        <v>2013</v>
      </c>
      <c r="V53" s="56">
        <v>2014</v>
      </c>
      <c r="W53" s="56">
        <v>2015</v>
      </c>
      <c r="X53" s="56">
        <v>2016</v>
      </c>
      <c r="Y53" s="56">
        <v>2017</v>
      </c>
      <c r="Z53" s="56">
        <v>2018</v>
      </c>
      <c r="AA53" s="56">
        <v>2019</v>
      </c>
      <c r="AB53" s="56">
        <v>2020</v>
      </c>
    </row>
    <row r="54" spans="2:28" x14ac:dyDescent="0.2">
      <c r="B54" s="57">
        <v>1</v>
      </c>
      <c r="C54" s="6">
        <f t="shared" ref="C54:D69" si="3">C$29*C31</f>
        <v>1818.8885621174772</v>
      </c>
      <c r="D54" s="6">
        <f t="shared" si="3"/>
        <v>1822.4888864911738</v>
      </c>
      <c r="E54" s="6"/>
      <c r="F54" s="6">
        <f t="shared" ref="F54:AB65" si="4">F$29*F31</f>
        <v>612.01867956702381</v>
      </c>
      <c r="G54" s="6">
        <f t="shared" si="4"/>
        <v>747.89777042466596</v>
      </c>
      <c r="H54" s="6">
        <f t="shared" si="4"/>
        <v>907.26025793521308</v>
      </c>
      <c r="I54" s="6">
        <f t="shared" si="4"/>
        <v>675.07834208601582</v>
      </c>
      <c r="J54" s="6">
        <f t="shared" si="4"/>
        <v>771.69756054269953</v>
      </c>
      <c r="K54" s="6">
        <f t="shared" si="4"/>
        <v>502.99676769929499</v>
      </c>
      <c r="L54" s="6">
        <f t="shared" si="4"/>
        <v>466.49390637732813</v>
      </c>
      <c r="M54" s="6">
        <f t="shared" si="4"/>
        <v>437.49737216405043</v>
      </c>
      <c r="N54" s="6">
        <f t="shared" si="4"/>
        <v>345.50648364746843</v>
      </c>
      <c r="O54" s="6">
        <f t="shared" si="4"/>
        <v>240.0996932839318</v>
      </c>
      <c r="P54" s="6">
        <f t="shared" si="4"/>
        <v>265.93724639668091</v>
      </c>
      <c r="Q54" s="6">
        <f t="shared" si="4"/>
        <v>143.21181789558494</v>
      </c>
      <c r="R54" s="6">
        <f t="shared" si="4"/>
        <v>158.88091677064264</v>
      </c>
      <c r="S54" s="6">
        <f t="shared" si="4"/>
        <v>228.20400116984791</v>
      </c>
      <c r="T54" s="6">
        <f t="shared" si="4"/>
        <v>136.57539783865448</v>
      </c>
      <c r="U54" s="6">
        <f t="shared" si="4"/>
        <v>169.55880548236868</v>
      </c>
      <c r="V54" s="6">
        <f t="shared" si="4"/>
        <v>153.47041290531021</v>
      </c>
      <c r="W54" s="6">
        <f t="shared" si="4"/>
        <v>161.7033053130632</v>
      </c>
      <c r="X54" s="6">
        <f t="shared" si="4"/>
        <v>179.18588960838977</v>
      </c>
      <c r="Y54" s="6">
        <f t="shared" si="4"/>
        <v>193.4287865428511</v>
      </c>
      <c r="Z54" s="6">
        <f t="shared" si="4"/>
        <v>225.17725534163756</v>
      </c>
      <c r="AA54" s="6">
        <f t="shared" si="4"/>
        <v>211.5183048873852</v>
      </c>
      <c r="AB54" s="6">
        <f t="shared" si="4"/>
        <v>190.7236623281523</v>
      </c>
    </row>
    <row r="55" spans="2:28" x14ac:dyDescent="0.2">
      <c r="B55" s="8">
        <v>2</v>
      </c>
      <c r="C55" s="6">
        <f t="shared" si="3"/>
        <v>1742.188442028186</v>
      </c>
      <c r="D55" s="6">
        <f t="shared" si="3"/>
        <v>1578.9830644965284</v>
      </c>
      <c r="E55" s="6"/>
      <c r="F55" s="6">
        <f t="shared" si="4"/>
        <v>767.51528219317311</v>
      </c>
      <c r="G55" s="6">
        <f t="shared" si="4"/>
        <v>542.59250011201254</v>
      </c>
      <c r="H55" s="6">
        <f t="shared" si="4"/>
        <v>782.12091201311478</v>
      </c>
      <c r="I55" s="6">
        <f t="shared" si="4"/>
        <v>554.35265317282324</v>
      </c>
      <c r="J55" s="6">
        <f t="shared" si="4"/>
        <v>557.69739669472403</v>
      </c>
      <c r="K55" s="6">
        <f t="shared" si="4"/>
        <v>717.23613171936506</v>
      </c>
      <c r="L55" s="6">
        <f t="shared" si="4"/>
        <v>440.28638354714116</v>
      </c>
      <c r="M55" s="6">
        <f t="shared" si="4"/>
        <v>378.72906844052125</v>
      </c>
      <c r="N55" s="6">
        <f t="shared" si="4"/>
        <v>360.52850467561922</v>
      </c>
      <c r="O55" s="6">
        <f t="shared" si="4"/>
        <v>314.61339119963475</v>
      </c>
      <c r="P55" s="6">
        <f t="shared" si="4"/>
        <v>275.43500519656232</v>
      </c>
      <c r="Q55" s="6">
        <f t="shared" si="4"/>
        <v>245.50597353528843</v>
      </c>
      <c r="R55" s="6">
        <f t="shared" si="4"/>
        <v>127.10473341651412</v>
      </c>
      <c r="S55" s="6">
        <f t="shared" si="4"/>
        <v>114.10200058492396</v>
      </c>
      <c r="T55" s="6">
        <f t="shared" si="4"/>
        <v>273.15079567730896</v>
      </c>
      <c r="U55" s="6">
        <f t="shared" si="4"/>
        <v>133.22477573614682</v>
      </c>
      <c r="V55" s="6">
        <f t="shared" si="4"/>
        <v>158.30244880200644</v>
      </c>
      <c r="W55" s="6">
        <f t="shared" si="4"/>
        <v>153.09536934950972</v>
      </c>
      <c r="X55" s="6">
        <f t="shared" si="4"/>
        <v>173.77838735171338</v>
      </c>
      <c r="Y55" s="6">
        <f t="shared" si="4"/>
        <v>213.66465604359215</v>
      </c>
      <c r="Z55" s="6">
        <f t="shared" si="4"/>
        <v>216.93835730580696</v>
      </c>
      <c r="AA55" s="6">
        <f t="shared" si="4"/>
        <v>211.922955296136</v>
      </c>
      <c r="AB55" s="6">
        <f t="shared" si="4"/>
        <v>190.03086478388295</v>
      </c>
    </row>
    <row r="56" spans="2:28" x14ac:dyDescent="0.2">
      <c r="B56" s="57">
        <v>3</v>
      </c>
      <c r="C56" s="6">
        <f t="shared" si="3"/>
        <v>1680.8283459567533</v>
      </c>
      <c r="D56" s="6">
        <f t="shared" si="3"/>
        <v>1512.3994412948678</v>
      </c>
      <c r="E56" s="6"/>
      <c r="F56" s="6">
        <f t="shared" si="4"/>
        <v>1323.7146685097841</v>
      </c>
      <c r="G56" s="6">
        <f t="shared" si="4"/>
        <v>718.56844609428697</v>
      </c>
      <c r="H56" s="6">
        <f t="shared" si="4"/>
        <v>600.668860426072</v>
      </c>
      <c r="I56" s="6">
        <f t="shared" si="4"/>
        <v>537.1061261852243</v>
      </c>
      <c r="J56" s="6">
        <f t="shared" si="4"/>
        <v>590.12166394441738</v>
      </c>
      <c r="K56" s="6">
        <f t="shared" si="4"/>
        <v>600.80169475193566</v>
      </c>
      <c r="L56" s="6">
        <f t="shared" si="4"/>
        <v>623.73904335844986</v>
      </c>
      <c r="M56" s="6">
        <f t="shared" si="4"/>
        <v>430.9675606392139</v>
      </c>
      <c r="N56" s="6">
        <f t="shared" si="4"/>
        <v>277.90738902078982</v>
      </c>
      <c r="O56" s="6">
        <f t="shared" si="4"/>
        <v>347.73059027328054</v>
      </c>
      <c r="P56" s="6">
        <f t="shared" si="4"/>
        <v>332.42155799585112</v>
      </c>
      <c r="Q56" s="6">
        <f t="shared" si="4"/>
        <v>265.96480466322913</v>
      </c>
      <c r="R56" s="6">
        <f t="shared" si="4"/>
        <v>222.43328347889971</v>
      </c>
      <c r="S56" s="6">
        <f t="shared" si="4"/>
        <v>104.5935005361803</v>
      </c>
      <c r="T56" s="6">
        <f t="shared" si="4"/>
        <v>148.99134309671396</v>
      </c>
      <c r="U56" s="6">
        <f t="shared" si="4"/>
        <v>242.2268649748124</v>
      </c>
      <c r="V56" s="6">
        <f t="shared" si="4"/>
        <v>174.34342276020209</v>
      </c>
      <c r="W56" s="6">
        <f t="shared" si="4"/>
        <v>169.227723716388</v>
      </c>
      <c r="X56" s="6">
        <f t="shared" si="4"/>
        <v>177.57468574406164</v>
      </c>
      <c r="Y56" s="6">
        <f t="shared" si="4"/>
        <v>221.25079697026075</v>
      </c>
      <c r="Z56" s="6">
        <f t="shared" si="4"/>
        <v>259.44533506817788</v>
      </c>
      <c r="AA56" s="6">
        <f t="shared" si="4"/>
        <v>231.04095006197326</v>
      </c>
      <c r="AB56" s="6">
        <f t="shared" si="4"/>
        <v>206.76372353917512</v>
      </c>
    </row>
    <row r="57" spans="2:28" x14ac:dyDescent="0.2">
      <c r="B57" s="8">
        <v>4</v>
      </c>
      <c r="C57" s="6">
        <f t="shared" si="3"/>
        <v>1485.7908977296984</v>
      </c>
      <c r="D57" s="6">
        <f t="shared" si="3"/>
        <v>1459.1325427335389</v>
      </c>
      <c r="E57" s="6"/>
      <c r="F57" s="6">
        <f t="shared" si="4"/>
        <v>1090.4697645705603</v>
      </c>
      <c r="G57" s="6">
        <f t="shared" si="4"/>
        <v>1124.9890832438252</v>
      </c>
      <c r="H57" s="6">
        <f t="shared" si="4"/>
        <v>760.2215264767475</v>
      </c>
      <c r="I57" s="6">
        <f t="shared" si="4"/>
        <v>384.35117286649074</v>
      </c>
      <c r="J57" s="6">
        <f t="shared" si="4"/>
        <v>531.75798289496947</v>
      </c>
      <c r="K57" s="6">
        <f t="shared" si="4"/>
        <v>544.91316500756955</v>
      </c>
      <c r="L57" s="6">
        <f t="shared" si="4"/>
        <v>524.15045660373949</v>
      </c>
      <c r="M57" s="6">
        <f t="shared" si="4"/>
        <v>535.44454503659904</v>
      </c>
      <c r="N57" s="6">
        <f t="shared" si="4"/>
        <v>322.97345210524219</v>
      </c>
      <c r="O57" s="6">
        <f t="shared" si="4"/>
        <v>273.21689235757754</v>
      </c>
      <c r="P57" s="6">
        <f t="shared" si="4"/>
        <v>351.41707559561399</v>
      </c>
      <c r="Q57" s="6">
        <f t="shared" si="4"/>
        <v>296.65305135514018</v>
      </c>
      <c r="R57" s="6">
        <f t="shared" si="4"/>
        <v>190.65710012477118</v>
      </c>
      <c r="S57" s="6">
        <f t="shared" si="4"/>
        <v>199.67850102361692</v>
      </c>
      <c r="T57" s="6">
        <f t="shared" si="4"/>
        <v>136.57539783865448</v>
      </c>
      <c r="U57" s="6">
        <f t="shared" si="4"/>
        <v>133.22477573614682</v>
      </c>
      <c r="V57" s="6">
        <f t="shared" si="4"/>
        <v>167.38583513380098</v>
      </c>
      <c r="W57" s="6">
        <f t="shared" si="4"/>
        <v>156.68806647397454</v>
      </c>
      <c r="X57" s="6">
        <f t="shared" si="4"/>
        <v>167.12600078200617</v>
      </c>
      <c r="Y57" s="6">
        <f t="shared" si="4"/>
        <v>183.61220148417024</v>
      </c>
      <c r="Z57" s="6">
        <f t="shared" si="4"/>
        <v>211.94721358916283</v>
      </c>
      <c r="AA57" s="6">
        <f t="shared" si="4"/>
        <v>206.21873683316988</v>
      </c>
      <c r="AB57" s="6">
        <f t="shared" si="4"/>
        <v>181.80605557287788</v>
      </c>
    </row>
    <row r="58" spans="2:28" x14ac:dyDescent="0.2">
      <c r="B58" s="57">
        <v>5</v>
      </c>
      <c r="C58" s="6">
        <f t="shared" si="3"/>
        <v>918.21000906894335</v>
      </c>
      <c r="D58" s="6">
        <f t="shared" si="3"/>
        <v>1289.8199008778872</v>
      </c>
      <c r="E58" s="6"/>
      <c r="F58" s="6">
        <f t="shared" si="4"/>
        <v>998.76663994488251</v>
      </c>
      <c r="G58" s="6">
        <f t="shared" si="4"/>
        <v>951.10808899943515</v>
      </c>
      <c r="H58" s="6">
        <f t="shared" si="4"/>
        <v>1232.6225573326687</v>
      </c>
      <c r="I58" s="6">
        <f t="shared" si="4"/>
        <v>485.36654522242742</v>
      </c>
      <c r="J58" s="6">
        <f t="shared" si="4"/>
        <v>389.0912069963191</v>
      </c>
      <c r="K58" s="6">
        <f t="shared" si="4"/>
        <v>507.65414517799218</v>
      </c>
      <c r="L58" s="6">
        <f t="shared" si="4"/>
        <v>429.80337441506634</v>
      </c>
      <c r="M58" s="6">
        <f t="shared" si="4"/>
        <v>424.43774911437731</v>
      </c>
      <c r="N58" s="6">
        <f t="shared" si="4"/>
        <v>390.5725467319208</v>
      </c>
      <c r="O58" s="6">
        <f t="shared" si="4"/>
        <v>331.17199073645764</v>
      </c>
      <c r="P58" s="6">
        <f t="shared" si="4"/>
        <v>294.43052279632525</v>
      </c>
      <c r="Q58" s="6">
        <f t="shared" si="4"/>
        <v>327.34129804705128</v>
      </c>
      <c r="R58" s="6">
        <f t="shared" si="4"/>
        <v>233.02534459694255</v>
      </c>
      <c r="S58" s="6">
        <f t="shared" si="4"/>
        <v>171.15300087738592</v>
      </c>
      <c r="T58" s="6">
        <f t="shared" si="4"/>
        <v>260.73485041924943</v>
      </c>
      <c r="U58" s="6">
        <f t="shared" si="4"/>
        <v>121.1134324874062</v>
      </c>
      <c r="V58" s="6">
        <f t="shared" si="4"/>
        <v>194.21511802445104</v>
      </c>
      <c r="W58" s="6">
        <f t="shared" si="4"/>
        <v>184.16473743138175</v>
      </c>
      <c r="X58" s="6">
        <f t="shared" si="4"/>
        <v>194.85017782139565</v>
      </c>
      <c r="Y58" s="6">
        <f t="shared" si="4"/>
        <v>229.06356794241714</v>
      </c>
      <c r="Z58" s="6">
        <f t="shared" si="4"/>
        <v>240.9201275564636</v>
      </c>
      <c r="AA58" s="6">
        <f t="shared" si="4"/>
        <v>242.60449434691347</v>
      </c>
      <c r="AB58" s="6">
        <f t="shared" si="4"/>
        <v>214.514698066515</v>
      </c>
    </row>
    <row r="59" spans="2:28" x14ac:dyDescent="0.2">
      <c r="B59" s="8">
        <v>6</v>
      </c>
      <c r="C59" s="6">
        <f t="shared" si="3"/>
        <v>517.17795260207788</v>
      </c>
      <c r="D59" s="6">
        <f t="shared" si="3"/>
        <v>793.29631071693063</v>
      </c>
      <c r="E59" s="6"/>
      <c r="F59" s="6">
        <f t="shared" si="4"/>
        <v>956.90217000707298</v>
      </c>
      <c r="G59" s="6">
        <f t="shared" si="4"/>
        <v>871.49992295983486</v>
      </c>
      <c r="H59" s="6">
        <f t="shared" si="4"/>
        <v>1048.0420220975736</v>
      </c>
      <c r="I59" s="6">
        <f t="shared" si="4"/>
        <v>803.19539970817937</v>
      </c>
      <c r="J59" s="6">
        <f t="shared" si="4"/>
        <v>457.18216822067495</v>
      </c>
      <c r="K59" s="6">
        <f t="shared" si="4"/>
        <v>330.67380098749953</v>
      </c>
      <c r="L59" s="6">
        <f t="shared" si="4"/>
        <v>419.32036528299153</v>
      </c>
      <c r="M59" s="6">
        <f t="shared" si="4"/>
        <v>378.72906844052125</v>
      </c>
      <c r="N59" s="6">
        <f t="shared" si="4"/>
        <v>345.50648364746843</v>
      </c>
      <c r="O59" s="6">
        <f t="shared" si="4"/>
        <v>389.12708911533775</v>
      </c>
      <c r="P59" s="6">
        <f t="shared" si="4"/>
        <v>351.41707559561399</v>
      </c>
      <c r="Q59" s="6">
        <f t="shared" si="4"/>
        <v>276.19422022719954</v>
      </c>
      <c r="R59" s="6">
        <f t="shared" si="4"/>
        <v>264.80152795107108</v>
      </c>
      <c r="S59" s="6">
        <f t="shared" si="4"/>
        <v>209.1870010723606</v>
      </c>
      <c r="T59" s="6">
        <f t="shared" si="4"/>
        <v>198.65512412895197</v>
      </c>
      <c r="U59" s="6">
        <f t="shared" si="4"/>
        <v>254.33820822355304</v>
      </c>
      <c r="V59" s="6">
        <f t="shared" si="4"/>
        <v>215.67214531640167</v>
      </c>
      <c r="W59" s="6">
        <f t="shared" si="4"/>
        <v>216.74334579403794</v>
      </c>
      <c r="X59" s="6">
        <f t="shared" si="4"/>
        <v>230.99244751552979</v>
      </c>
      <c r="Y59" s="6">
        <f t="shared" si="4"/>
        <v>270.02302229931655</v>
      </c>
      <c r="Z59" s="6">
        <f t="shared" si="4"/>
        <v>312.26362307040853</v>
      </c>
      <c r="AA59" s="6">
        <f t="shared" si="4"/>
        <v>288.13174038374052</v>
      </c>
      <c r="AB59" s="6">
        <f t="shared" si="4"/>
        <v>258.26384115681338</v>
      </c>
    </row>
    <row r="60" spans="2:28" x14ac:dyDescent="0.2">
      <c r="B60" s="57">
        <v>7</v>
      </c>
      <c r="C60" s="6">
        <f t="shared" si="3"/>
        <v>817.40413695158918</v>
      </c>
      <c r="D60" s="6">
        <f t="shared" si="3"/>
        <v>448.96385930262738</v>
      </c>
      <c r="E60" s="6"/>
      <c r="F60" s="6">
        <f t="shared" si="4"/>
        <v>835.29585256867415</v>
      </c>
      <c r="G60" s="6">
        <f t="shared" si="4"/>
        <v>808.6513708233083</v>
      </c>
      <c r="H60" s="6">
        <f t="shared" si="4"/>
        <v>985.47234913652449</v>
      </c>
      <c r="I60" s="6">
        <f t="shared" si="4"/>
        <v>726.81792304881264</v>
      </c>
      <c r="J60" s="6">
        <f t="shared" si="4"/>
        <v>804.12182779239288</v>
      </c>
      <c r="K60" s="6">
        <f t="shared" si="4"/>
        <v>442.4508604762317</v>
      </c>
      <c r="L60" s="6">
        <f t="shared" si="4"/>
        <v>288.28275113205672</v>
      </c>
      <c r="M60" s="6">
        <f t="shared" si="4"/>
        <v>339.55019929150183</v>
      </c>
      <c r="N60" s="6">
        <f t="shared" si="4"/>
        <v>360.52850467561922</v>
      </c>
      <c r="O60" s="6">
        <f t="shared" si="4"/>
        <v>364.28918981010338</v>
      </c>
      <c r="P60" s="6">
        <f t="shared" si="4"/>
        <v>417.90138719478426</v>
      </c>
      <c r="Q60" s="6">
        <f t="shared" si="4"/>
        <v>327.34129804705128</v>
      </c>
      <c r="R60" s="6">
        <f t="shared" si="4"/>
        <v>243.61740571498538</v>
      </c>
      <c r="S60" s="6">
        <f t="shared" si="4"/>
        <v>237.71250121859157</v>
      </c>
      <c r="T60" s="6">
        <f t="shared" si="4"/>
        <v>235.90295990313047</v>
      </c>
      <c r="U60" s="6">
        <f t="shared" si="4"/>
        <v>193.78149197984993</v>
      </c>
      <c r="V60" s="6">
        <f t="shared" si="4"/>
        <v>219.58480700179533</v>
      </c>
      <c r="W60" s="6">
        <f t="shared" si="4"/>
        <v>214.21196539031453</v>
      </c>
      <c r="X60" s="6">
        <f t="shared" si="4"/>
        <v>231.49971635789419</v>
      </c>
      <c r="Y60" s="6">
        <f t="shared" si="4"/>
        <v>263.79072881138393</v>
      </c>
      <c r="Z60" s="6">
        <f t="shared" si="4"/>
        <v>294.17932771969748</v>
      </c>
      <c r="AA60" s="6">
        <f t="shared" si="4"/>
        <v>283.83148345096032</v>
      </c>
      <c r="AB60" s="6">
        <f t="shared" si="4"/>
        <v>252.74738369868723</v>
      </c>
    </row>
    <row r="61" spans="2:28" x14ac:dyDescent="0.2">
      <c r="B61" s="8">
        <v>8</v>
      </c>
      <c r="C61" s="6">
        <f t="shared" si="3"/>
        <v>617.98382471943205</v>
      </c>
      <c r="D61" s="6">
        <f t="shared" si="3"/>
        <v>707.68879517193818</v>
      </c>
      <c r="E61" s="6"/>
      <c r="F61" s="6">
        <f t="shared" si="4"/>
        <v>494.39945450365434</v>
      </c>
      <c r="G61" s="6">
        <f t="shared" si="4"/>
        <v>712.28359088063428</v>
      </c>
      <c r="H61" s="6">
        <f t="shared" si="4"/>
        <v>922.90267617547522</v>
      </c>
      <c r="I61" s="6">
        <f t="shared" si="4"/>
        <v>670.15076294670178</v>
      </c>
      <c r="J61" s="6">
        <f t="shared" si="4"/>
        <v>739.27329329300642</v>
      </c>
      <c r="K61" s="6">
        <f t="shared" si="4"/>
        <v>805.72630381461147</v>
      </c>
      <c r="L61" s="6">
        <f t="shared" si="4"/>
        <v>372.14682418865499</v>
      </c>
      <c r="M61" s="6">
        <f t="shared" si="4"/>
        <v>287.31170709280923</v>
      </c>
      <c r="N61" s="6">
        <f t="shared" si="4"/>
        <v>345.50648364746843</v>
      </c>
      <c r="O61" s="6">
        <f t="shared" si="4"/>
        <v>331.17199073645764</v>
      </c>
      <c r="P61" s="6">
        <f t="shared" si="4"/>
        <v>360.91483439549546</v>
      </c>
      <c r="Q61" s="6">
        <f t="shared" si="4"/>
        <v>409.17662255881407</v>
      </c>
      <c r="R61" s="6">
        <f t="shared" si="4"/>
        <v>264.80152795107108</v>
      </c>
      <c r="S61" s="6">
        <f t="shared" si="4"/>
        <v>209.1870010723606</v>
      </c>
      <c r="T61" s="6">
        <f t="shared" si="4"/>
        <v>285.5667409353685</v>
      </c>
      <c r="U61" s="6">
        <f t="shared" si="4"/>
        <v>230.11552172607179</v>
      </c>
      <c r="V61" s="6">
        <f t="shared" si="4"/>
        <v>246.01575151104669</v>
      </c>
      <c r="W61" s="6">
        <f t="shared" si="4"/>
        <v>234.05141480209224</v>
      </c>
      <c r="X61" s="6">
        <f t="shared" si="4"/>
        <v>253.18454404486758</v>
      </c>
      <c r="Y61" s="6">
        <f t="shared" si="4"/>
        <v>300.85224219807026</v>
      </c>
      <c r="Z61" s="6">
        <f t="shared" si="4"/>
        <v>331.21481477612031</v>
      </c>
      <c r="AA61" s="6">
        <f t="shared" si="4"/>
        <v>316.33753329192189</v>
      </c>
      <c r="AB61" s="6">
        <f t="shared" si="4"/>
        <v>281.39454735271045</v>
      </c>
    </row>
    <row r="62" spans="2:28" x14ac:dyDescent="0.2">
      <c r="B62" s="57">
        <v>9</v>
      </c>
      <c r="C62" s="6">
        <f t="shared" si="3"/>
        <v>576.34661667095963</v>
      </c>
      <c r="D62" s="6">
        <f t="shared" si="3"/>
        <v>536.47376408195305</v>
      </c>
      <c r="E62" s="6"/>
      <c r="F62" s="6">
        <f t="shared" si="4"/>
        <v>308.999659064784</v>
      </c>
      <c r="G62" s="6">
        <f t="shared" si="4"/>
        <v>429.46510626626474</v>
      </c>
      <c r="H62" s="6">
        <f t="shared" si="4"/>
        <v>772.73546106895731</v>
      </c>
      <c r="I62" s="6">
        <f t="shared" si="4"/>
        <v>581.45433843905005</v>
      </c>
      <c r="J62" s="6">
        <f t="shared" si="4"/>
        <v>710.09145276828235</v>
      </c>
      <c r="K62" s="6">
        <f t="shared" si="4"/>
        <v>796.4115488572171</v>
      </c>
      <c r="L62" s="6">
        <f t="shared" si="4"/>
        <v>718.08612554712306</v>
      </c>
      <c r="M62" s="6">
        <f t="shared" si="4"/>
        <v>333.02038776666524</v>
      </c>
      <c r="N62" s="6">
        <f t="shared" si="4"/>
        <v>240.35233645041282</v>
      </c>
      <c r="O62" s="6">
        <f t="shared" si="4"/>
        <v>372.56848957851486</v>
      </c>
      <c r="P62" s="6">
        <f t="shared" si="4"/>
        <v>379.9103519952584</v>
      </c>
      <c r="Q62" s="6">
        <f t="shared" si="4"/>
        <v>358.02954473896233</v>
      </c>
      <c r="R62" s="6">
        <f t="shared" si="4"/>
        <v>370.72213913149949</v>
      </c>
      <c r="S62" s="6">
        <f t="shared" si="4"/>
        <v>237.71250121859157</v>
      </c>
      <c r="T62" s="6">
        <f t="shared" si="4"/>
        <v>248.31890516118995</v>
      </c>
      <c r="U62" s="6">
        <f t="shared" si="4"/>
        <v>278.56089472103423</v>
      </c>
      <c r="V62" s="6">
        <f t="shared" si="4"/>
        <v>265.1955346040823</v>
      </c>
      <c r="W62" s="6">
        <f t="shared" si="4"/>
        <v>263.93291183539554</v>
      </c>
      <c r="X62" s="6">
        <f t="shared" si="4"/>
        <v>272.73326750100966</v>
      </c>
      <c r="Y62" s="6">
        <f t="shared" si="4"/>
        <v>321.07230262380398</v>
      </c>
      <c r="Z62" s="6">
        <f t="shared" si="4"/>
        <v>368.15075145676059</v>
      </c>
      <c r="AA62" s="6">
        <f t="shared" si="4"/>
        <v>345.45626906957443</v>
      </c>
      <c r="AB62" s="6">
        <f t="shared" si="4"/>
        <v>308.10450301880167</v>
      </c>
    </row>
    <row r="63" spans="2:28" x14ac:dyDescent="0.2">
      <c r="B63" s="8">
        <v>10</v>
      </c>
      <c r="C63" s="6">
        <f t="shared" si="3"/>
        <v>442.66926451533789</v>
      </c>
      <c r="D63" s="6">
        <f t="shared" si="3"/>
        <v>500.3283686296229</v>
      </c>
      <c r="E63" s="6"/>
      <c r="F63" s="6">
        <f t="shared" si="4"/>
        <v>438.58016125324178</v>
      </c>
      <c r="G63" s="6">
        <f t="shared" si="4"/>
        <v>266.05887071129575</v>
      </c>
      <c r="H63" s="6">
        <f t="shared" si="4"/>
        <v>503.68586733644582</v>
      </c>
      <c r="I63" s="6">
        <f t="shared" si="4"/>
        <v>537.1061261852243</v>
      </c>
      <c r="J63" s="6">
        <f t="shared" si="4"/>
        <v>583.63681049447871</v>
      </c>
      <c r="K63" s="6">
        <f t="shared" si="4"/>
        <v>787.09679389982273</v>
      </c>
      <c r="L63" s="6">
        <f t="shared" si="4"/>
        <v>723.32763011316047</v>
      </c>
      <c r="M63" s="6">
        <f t="shared" si="4"/>
        <v>679.10039858300365</v>
      </c>
      <c r="N63" s="6">
        <f t="shared" si="4"/>
        <v>270.39637850671437</v>
      </c>
      <c r="O63" s="6">
        <f t="shared" si="4"/>
        <v>256.6582928207547</v>
      </c>
      <c r="P63" s="6">
        <f t="shared" si="4"/>
        <v>398.90586959502133</v>
      </c>
      <c r="Q63" s="6">
        <f t="shared" si="4"/>
        <v>368.25896030293268</v>
      </c>
      <c r="R63" s="6">
        <f t="shared" si="4"/>
        <v>317.76183354128528</v>
      </c>
      <c r="S63" s="6">
        <f t="shared" si="4"/>
        <v>323.28900165728453</v>
      </c>
      <c r="T63" s="6">
        <f t="shared" si="4"/>
        <v>297.98268619342792</v>
      </c>
      <c r="U63" s="6">
        <f t="shared" si="4"/>
        <v>230.11552172607179</v>
      </c>
      <c r="V63" s="6">
        <f t="shared" si="4"/>
        <v>274.18767045237877</v>
      </c>
      <c r="W63" s="6">
        <f t="shared" si="4"/>
        <v>273.14988574696645</v>
      </c>
      <c r="X63" s="6">
        <f t="shared" si="4"/>
        <v>293.933505412366</v>
      </c>
      <c r="Y63" s="6">
        <f t="shared" si="4"/>
        <v>329.71266303790009</v>
      </c>
      <c r="Z63" s="6">
        <f t="shared" si="4"/>
        <v>366.88238455244885</v>
      </c>
      <c r="AA63" s="6">
        <f t="shared" si="4"/>
        <v>357.10085761151544</v>
      </c>
      <c r="AB63" s="6">
        <f t="shared" si="4"/>
        <v>318.47770066549788</v>
      </c>
    </row>
    <row r="64" spans="2:28" x14ac:dyDescent="0.2">
      <c r="B64" s="57">
        <v>11</v>
      </c>
      <c r="C64" s="6">
        <f t="shared" si="3"/>
        <v>348.43768840563723</v>
      </c>
      <c r="D64" s="6">
        <f t="shared" si="3"/>
        <v>382.38023610096656</v>
      </c>
      <c r="E64" s="6"/>
      <c r="F64" s="6">
        <f t="shared" si="4"/>
        <v>374.78668325277027</v>
      </c>
      <c r="G64" s="6">
        <f t="shared" si="4"/>
        <v>389.66102324646465</v>
      </c>
      <c r="H64" s="6">
        <f t="shared" si="4"/>
        <v>297.20594656498355</v>
      </c>
      <c r="I64" s="6">
        <f t="shared" si="4"/>
        <v>337.53917104300791</v>
      </c>
      <c r="J64" s="6">
        <f t="shared" si="4"/>
        <v>528.5155561700002</v>
      </c>
      <c r="K64" s="6">
        <f t="shared" si="4"/>
        <v>656.69022449630177</v>
      </c>
      <c r="L64" s="6">
        <f t="shared" si="4"/>
        <v>702.36161184901084</v>
      </c>
      <c r="M64" s="6">
        <f t="shared" si="4"/>
        <v>744.39851383136931</v>
      </c>
      <c r="N64" s="6">
        <f t="shared" si="4"/>
        <v>563.32578855565498</v>
      </c>
      <c r="O64" s="6">
        <f t="shared" si="4"/>
        <v>273.21689235757754</v>
      </c>
      <c r="P64" s="6">
        <f t="shared" si="4"/>
        <v>275.43500519656232</v>
      </c>
      <c r="Q64" s="6">
        <f t="shared" si="4"/>
        <v>337.57071361102163</v>
      </c>
      <c r="R64" s="6">
        <f t="shared" si="4"/>
        <v>328.35389465932809</v>
      </c>
      <c r="S64" s="6">
        <f t="shared" si="4"/>
        <v>275.74650141356619</v>
      </c>
      <c r="T64" s="6">
        <f t="shared" si="4"/>
        <v>335.23052196760648</v>
      </c>
      <c r="U64" s="6">
        <f t="shared" si="4"/>
        <v>290.67223796977487</v>
      </c>
      <c r="V64" s="6">
        <f t="shared" si="4"/>
        <v>281.73838937946664</v>
      </c>
      <c r="W64" s="6">
        <f t="shared" si="4"/>
        <v>286.39203293386555</v>
      </c>
      <c r="X64" s="6">
        <f t="shared" si="4"/>
        <v>309.0358699398667</v>
      </c>
      <c r="Y64" s="6">
        <f t="shared" si="4"/>
        <v>362.2544909363483</v>
      </c>
      <c r="Z64" s="6">
        <f t="shared" si="4"/>
        <v>401.05488133371341</v>
      </c>
      <c r="AA64" s="6">
        <f t="shared" si="4"/>
        <v>379.78780522003223</v>
      </c>
      <c r="AB64" s="6">
        <f t="shared" si="4"/>
        <v>341.01074353236146</v>
      </c>
    </row>
    <row r="65" spans="2:28" x14ac:dyDescent="0.2">
      <c r="B65" s="8">
        <v>12</v>
      </c>
      <c r="C65" s="6">
        <f t="shared" si="3"/>
        <v>333.09766438777899</v>
      </c>
      <c r="D65" s="6">
        <f t="shared" si="3"/>
        <v>298.6751097903072</v>
      </c>
      <c r="E65" s="6"/>
      <c r="F65" s="6">
        <f t="shared" si="4"/>
        <v>316.97384381484289</v>
      </c>
      <c r="G65" s="6">
        <f t="shared" si="4"/>
        <v>335.19227806147495</v>
      </c>
      <c r="H65" s="6">
        <f t="shared" ref="H65:AB65" si="5">H$29*H42</f>
        <v>416.088325190977</v>
      </c>
      <c r="I65" s="6">
        <f t="shared" si="5"/>
        <v>194.63937600290237</v>
      </c>
      <c r="J65" s="6">
        <f t="shared" si="5"/>
        <v>353.42451302165654</v>
      </c>
      <c r="K65" s="6">
        <f t="shared" si="5"/>
        <v>572.85742987975266</v>
      </c>
      <c r="L65" s="6">
        <f t="shared" si="5"/>
        <v>576.56550226411343</v>
      </c>
      <c r="M65" s="6">
        <f t="shared" si="5"/>
        <v>672.57058705816701</v>
      </c>
      <c r="N65" s="6">
        <f t="shared" si="5"/>
        <v>698.52397780901219</v>
      </c>
      <c r="O65" s="6">
        <f t="shared" si="5"/>
        <v>587.83028355721228</v>
      </c>
      <c r="P65" s="6">
        <f t="shared" si="5"/>
        <v>313.42604039608818</v>
      </c>
      <c r="Q65" s="6">
        <f t="shared" si="5"/>
        <v>245.50597353528843</v>
      </c>
      <c r="R65" s="6">
        <f t="shared" si="5"/>
        <v>296.57771130519961</v>
      </c>
      <c r="S65" s="6">
        <f t="shared" si="5"/>
        <v>275.74650141356619</v>
      </c>
      <c r="T65" s="6">
        <f t="shared" si="5"/>
        <v>322.81457670954694</v>
      </c>
      <c r="U65" s="6">
        <f t="shared" si="5"/>
        <v>327.00626771599673</v>
      </c>
      <c r="V65" s="6">
        <f t="shared" si="5"/>
        <v>268.49831814693476</v>
      </c>
      <c r="W65" s="6">
        <f t="shared" si="5"/>
        <v>283.60861329572839</v>
      </c>
      <c r="X65" s="6">
        <f t="shared" si="5"/>
        <v>311.09645834484604</v>
      </c>
      <c r="Y65" s="6">
        <f t="shared" si="5"/>
        <v>365.11705657875825</v>
      </c>
      <c r="Z65" s="6">
        <f t="shared" si="5"/>
        <v>408.14112392333459</v>
      </c>
      <c r="AA65" s="6">
        <f t="shared" si="5"/>
        <v>378.06582178082181</v>
      </c>
      <c r="AB65" s="6">
        <f t="shared" si="5"/>
        <v>342.25243102320394</v>
      </c>
    </row>
    <row r="66" spans="2:28" x14ac:dyDescent="0.2">
      <c r="B66" s="57">
        <v>13</v>
      </c>
      <c r="C66" s="6">
        <f t="shared" si="3"/>
        <v>241.05752028062949</v>
      </c>
      <c r="D66" s="6">
        <f t="shared" si="3"/>
        <v>289.16316361864136</v>
      </c>
      <c r="E66" s="6"/>
      <c r="F66" s="6">
        <f t="shared" ref="F66:AB73" si="6">F$29*F43</f>
        <v>233.24490393922406</v>
      </c>
      <c r="G66" s="6">
        <f t="shared" si="6"/>
        <v>272.34372592494839</v>
      </c>
      <c r="H66" s="6">
        <f t="shared" si="6"/>
        <v>397.31742330266223</v>
      </c>
      <c r="I66" s="6">
        <f t="shared" si="6"/>
        <v>263.6254839532981</v>
      </c>
      <c r="J66" s="6">
        <f t="shared" si="6"/>
        <v>197.78803022312889</v>
      </c>
      <c r="K66" s="6">
        <f t="shared" si="6"/>
        <v>405.19184064665427</v>
      </c>
      <c r="L66" s="6">
        <f t="shared" si="6"/>
        <v>482.21842007544029</v>
      </c>
      <c r="M66" s="6">
        <f t="shared" si="6"/>
        <v>528.91473351176251</v>
      </c>
      <c r="N66" s="6">
        <f t="shared" si="6"/>
        <v>555.81477804157964</v>
      </c>
      <c r="O66" s="6">
        <f t="shared" si="6"/>
        <v>728.57837962020676</v>
      </c>
      <c r="P66" s="6">
        <f t="shared" si="6"/>
        <v>598.35880439253197</v>
      </c>
      <c r="Q66" s="6">
        <f t="shared" si="6"/>
        <v>306.88246691911053</v>
      </c>
      <c r="R66" s="6">
        <f t="shared" si="6"/>
        <v>222.43328347889971</v>
      </c>
      <c r="S66" s="6">
        <f t="shared" si="6"/>
        <v>256.72950131607888</v>
      </c>
      <c r="T66" s="6">
        <f t="shared" si="6"/>
        <v>322.81457670954694</v>
      </c>
      <c r="U66" s="6">
        <f t="shared" si="6"/>
        <v>302.78358121851551</v>
      </c>
      <c r="V66" s="6">
        <f t="shared" si="6"/>
        <v>255.95291888451342</v>
      </c>
      <c r="W66" s="6">
        <f t="shared" si="6"/>
        <v>260.15162738861505</v>
      </c>
      <c r="X66" s="6">
        <f t="shared" si="6"/>
        <v>294.15568886921039</v>
      </c>
      <c r="Y66" s="6">
        <f t="shared" si="6"/>
        <v>346.20763090633017</v>
      </c>
      <c r="Z66" s="6">
        <f t="shared" si="6"/>
        <v>382.65644776904281</v>
      </c>
      <c r="AA66" s="6">
        <f t="shared" si="6"/>
        <v>355.48728302976934</v>
      </c>
      <c r="AB66" s="6">
        <f t="shared" si="6"/>
        <v>320.99946258636686</v>
      </c>
    </row>
    <row r="67" spans="2:28" x14ac:dyDescent="0.2">
      <c r="B67" s="8">
        <v>14</v>
      </c>
      <c r="C67" s="6">
        <f t="shared" si="3"/>
        <v>188.46315221940128</v>
      </c>
      <c r="D67" s="6">
        <f t="shared" si="3"/>
        <v>209.26281577664835</v>
      </c>
      <c r="E67" s="6"/>
      <c r="F67" s="6">
        <f t="shared" si="6"/>
        <v>175.43206450129671</v>
      </c>
      <c r="G67" s="6">
        <f t="shared" si="6"/>
        <v>178.07089772015857</v>
      </c>
      <c r="H67" s="6">
        <f t="shared" si="6"/>
        <v>300.334430213036</v>
      </c>
      <c r="I67" s="6">
        <f t="shared" si="6"/>
        <v>268.55306309261215</v>
      </c>
      <c r="J67" s="6">
        <f t="shared" si="6"/>
        <v>249.66685782263809</v>
      </c>
      <c r="K67" s="6">
        <f t="shared" si="6"/>
        <v>223.55411897746444</v>
      </c>
      <c r="L67" s="6">
        <f t="shared" si="6"/>
        <v>377.3883287546924</v>
      </c>
      <c r="M67" s="6">
        <f t="shared" si="6"/>
        <v>444.02718368888702</v>
      </c>
      <c r="N67" s="6">
        <f t="shared" si="6"/>
        <v>495.72669392897643</v>
      </c>
      <c r="O67" s="6">
        <f t="shared" si="6"/>
        <v>554.71308448356649</v>
      </c>
      <c r="P67" s="6">
        <f t="shared" si="6"/>
        <v>759.82070399051679</v>
      </c>
      <c r="Q67" s="6">
        <f t="shared" si="6"/>
        <v>521.70019376248797</v>
      </c>
      <c r="R67" s="6">
        <f t="shared" si="6"/>
        <v>264.80152795107108</v>
      </c>
      <c r="S67" s="6">
        <f t="shared" si="6"/>
        <v>180.66150092612961</v>
      </c>
      <c r="T67" s="6">
        <f t="shared" si="6"/>
        <v>260.73485041924943</v>
      </c>
      <c r="U67" s="6">
        <f t="shared" si="6"/>
        <v>314.89492446725615</v>
      </c>
      <c r="V67" s="6">
        <f t="shared" si="6"/>
        <v>269.14436974845211</v>
      </c>
      <c r="W67" s="6">
        <f t="shared" si="6"/>
        <v>245.68040750946389</v>
      </c>
      <c r="X67" s="6">
        <f t="shared" si="6"/>
        <v>268.09503051108527</v>
      </c>
      <c r="Y67" s="6">
        <f t="shared" si="6"/>
        <v>328.50285315434519</v>
      </c>
      <c r="Z67" s="6">
        <f t="shared" si="6"/>
        <v>374.93678277065902</v>
      </c>
      <c r="AA67" s="6">
        <f t="shared" si="6"/>
        <v>343.39118376854861</v>
      </c>
      <c r="AB67" s="6">
        <f t="shared" si="6"/>
        <v>304.97299070125621</v>
      </c>
    </row>
    <row r="68" spans="2:28" x14ac:dyDescent="0.2">
      <c r="B68" s="57">
        <v>15</v>
      </c>
      <c r="C68" s="6">
        <f t="shared" si="3"/>
        <v>195.0374482270548</v>
      </c>
      <c r="D68" s="6">
        <f t="shared" si="3"/>
        <v>163.60547415265236</v>
      </c>
      <c r="E68" s="6"/>
      <c r="F68" s="6">
        <f t="shared" si="6"/>
        <v>147.5224178760904</v>
      </c>
      <c r="G68" s="6">
        <f t="shared" si="6"/>
        <v>134.07691122458999</v>
      </c>
      <c r="H68" s="6">
        <f t="shared" si="6"/>
        <v>193.96598617925241</v>
      </c>
      <c r="I68" s="6">
        <f t="shared" si="6"/>
        <v>184.78421772427438</v>
      </c>
      <c r="J68" s="6">
        <f t="shared" si="6"/>
        <v>262.6365647225154</v>
      </c>
      <c r="K68" s="6">
        <f t="shared" si="6"/>
        <v>237.52625141355597</v>
      </c>
      <c r="L68" s="6">
        <f t="shared" si="6"/>
        <v>172.96965067923404</v>
      </c>
      <c r="M68" s="6">
        <f t="shared" si="6"/>
        <v>365.66944539084813</v>
      </c>
      <c r="N68" s="6">
        <f t="shared" si="6"/>
        <v>353.01749416154382</v>
      </c>
      <c r="O68" s="6">
        <f t="shared" si="6"/>
        <v>488.47868633627502</v>
      </c>
      <c r="P68" s="6">
        <f t="shared" si="6"/>
        <v>541.37225159324328</v>
      </c>
      <c r="Q68" s="6">
        <f t="shared" si="6"/>
        <v>613.76493383822105</v>
      </c>
      <c r="R68" s="6">
        <f t="shared" si="6"/>
        <v>487.23481142997076</v>
      </c>
      <c r="S68" s="6">
        <f t="shared" si="6"/>
        <v>218.69550112110426</v>
      </c>
      <c r="T68" s="6">
        <f t="shared" si="6"/>
        <v>186.23917887089246</v>
      </c>
      <c r="U68" s="6">
        <f t="shared" si="6"/>
        <v>205.89283522859057</v>
      </c>
      <c r="V68" s="6">
        <f t="shared" si="6"/>
        <v>290.46708235701544</v>
      </c>
      <c r="W68" s="6">
        <f t="shared" si="6"/>
        <v>258.036706348162</v>
      </c>
      <c r="X68" s="6">
        <f t="shared" si="6"/>
        <v>244.53198090405573</v>
      </c>
      <c r="Y68" s="6">
        <f t="shared" si="6"/>
        <v>286.51978716723266</v>
      </c>
      <c r="Z68" s="6">
        <f t="shared" si="6"/>
        <v>337.72499549761949</v>
      </c>
      <c r="AA68" s="6">
        <f t="shared" si="6"/>
        <v>330.32489279425749</v>
      </c>
      <c r="AB68" s="6">
        <f t="shared" si="6"/>
        <v>286.01269611199672</v>
      </c>
    </row>
    <row r="69" spans="2:28" x14ac:dyDescent="0.2">
      <c r="B69" s="8">
        <v>16</v>
      </c>
      <c r="C69" s="6">
        <f t="shared" si="3"/>
        <v>85.465848099495915</v>
      </c>
      <c r="D69" s="6">
        <f t="shared" si="3"/>
        <v>163.60547415265236</v>
      </c>
      <c r="E69" s="6"/>
      <c r="F69" s="6">
        <f t="shared" si="6"/>
        <v>99.677309375736769</v>
      </c>
      <c r="G69" s="6">
        <f t="shared" si="6"/>
        <v>117.31729732151624</v>
      </c>
      <c r="H69" s="6">
        <f t="shared" si="6"/>
        <v>134.52479686625571</v>
      </c>
      <c r="I69" s="6">
        <f t="shared" si="6"/>
        <v>110.87053063456463</v>
      </c>
      <c r="J69" s="6">
        <f t="shared" si="6"/>
        <v>162.12133624846629</v>
      </c>
      <c r="K69" s="6">
        <f t="shared" si="6"/>
        <v>260.81313880704187</v>
      </c>
      <c r="L69" s="6">
        <f t="shared" si="6"/>
        <v>188.6941643773462</v>
      </c>
      <c r="M69" s="6">
        <f t="shared" si="6"/>
        <v>143.65585354640461</v>
      </c>
      <c r="N69" s="6">
        <f t="shared" si="6"/>
        <v>270.39637850671437</v>
      </c>
      <c r="O69" s="6">
        <f t="shared" si="6"/>
        <v>298.05479166281191</v>
      </c>
      <c r="P69" s="6">
        <f t="shared" si="6"/>
        <v>465.39018119419154</v>
      </c>
      <c r="Q69" s="6">
        <f t="shared" si="6"/>
        <v>429.63545368675477</v>
      </c>
      <c r="R69" s="6">
        <f t="shared" si="6"/>
        <v>508.41893366605649</v>
      </c>
      <c r="S69" s="6">
        <f t="shared" si="6"/>
        <v>370.83150190100287</v>
      </c>
      <c r="T69" s="6">
        <f t="shared" si="6"/>
        <v>198.65512412895197</v>
      </c>
      <c r="U69" s="6">
        <f t="shared" si="6"/>
        <v>181.67014873110932</v>
      </c>
      <c r="V69" s="6">
        <f t="shared" si="6"/>
        <v>295.53549424667307</v>
      </c>
      <c r="W69" s="6">
        <f t="shared" si="6"/>
        <v>289.83518933963933</v>
      </c>
      <c r="X69" s="6">
        <f t="shared" si="6"/>
        <v>281.55046756100342</v>
      </c>
      <c r="Y69" s="6">
        <f t="shared" si="6"/>
        <v>300.94851878301296</v>
      </c>
      <c r="Z69" s="6">
        <f t="shared" si="6"/>
        <v>353.94263947474406</v>
      </c>
      <c r="AA69" s="6">
        <f t="shared" si="6"/>
        <v>355.40660146282698</v>
      </c>
      <c r="AB69" s="6">
        <f t="shared" si="6"/>
        <v>311.68849207578251</v>
      </c>
    </row>
    <row r="70" spans="2:28" x14ac:dyDescent="0.2">
      <c r="B70" s="57">
        <v>17</v>
      </c>
      <c r="C70" s="6">
        <f t="shared" ref="C70:D73" si="7">C$29*C47</f>
        <v>30.680048035716482</v>
      </c>
      <c r="D70" s="6">
        <f t="shared" si="7"/>
        <v>68.486012435994013</v>
      </c>
      <c r="E70" s="6"/>
      <c r="F70" s="6">
        <f t="shared" si="6"/>
        <v>59.806385625442061</v>
      </c>
      <c r="G70" s="6">
        <f t="shared" si="6"/>
        <v>81.703117777484522</v>
      </c>
      <c r="H70" s="6">
        <f t="shared" si="6"/>
        <v>103.23996038573112</v>
      </c>
      <c r="I70" s="6">
        <f t="shared" si="6"/>
        <v>76.377476659366749</v>
      </c>
      <c r="J70" s="6">
        <f t="shared" si="6"/>
        <v>81.060668124233146</v>
      </c>
      <c r="K70" s="6">
        <f t="shared" si="6"/>
        <v>172.32296671179552</v>
      </c>
      <c r="L70" s="6">
        <f t="shared" si="6"/>
        <v>204.41867807545839</v>
      </c>
      <c r="M70" s="6">
        <f t="shared" si="6"/>
        <v>137.12604202156805</v>
      </c>
      <c r="N70" s="6">
        <f t="shared" si="6"/>
        <v>105.15414719705561</v>
      </c>
      <c r="O70" s="6">
        <f t="shared" si="6"/>
        <v>231.82039351552032</v>
      </c>
      <c r="P70" s="6">
        <f t="shared" si="6"/>
        <v>246.94172879691797</v>
      </c>
      <c r="Q70" s="6">
        <f t="shared" si="6"/>
        <v>317.11188248308093</v>
      </c>
      <c r="R70" s="6">
        <f t="shared" si="6"/>
        <v>264.80152795107108</v>
      </c>
      <c r="S70" s="6">
        <f t="shared" si="6"/>
        <v>370.83150190100287</v>
      </c>
      <c r="T70" s="6">
        <f t="shared" si="6"/>
        <v>235.90295990313047</v>
      </c>
      <c r="U70" s="6">
        <f t="shared" si="6"/>
        <v>121.1134324874062</v>
      </c>
      <c r="V70" s="6">
        <f t="shared" si="6"/>
        <v>233.1672493571881</v>
      </c>
      <c r="W70" s="6">
        <f t="shared" si="6"/>
        <v>231.73175983127422</v>
      </c>
      <c r="X70" s="6">
        <f t="shared" si="6"/>
        <v>250.2103239280425</v>
      </c>
      <c r="Y70" s="6">
        <f t="shared" si="6"/>
        <v>257.41084858399512</v>
      </c>
      <c r="Z70" s="6">
        <f t="shared" si="6"/>
        <v>285.58101361356125</v>
      </c>
      <c r="AA70" s="6">
        <f t="shared" si="6"/>
        <v>293.64599210418766</v>
      </c>
      <c r="AB70" s="6">
        <f t="shared" si="6"/>
        <v>260.09121531044462</v>
      </c>
    </row>
    <row r="71" spans="2:28" x14ac:dyDescent="0.2">
      <c r="B71" s="8">
        <v>18</v>
      </c>
      <c r="C71" s="6">
        <f t="shared" si="7"/>
        <v>32.871480038267663</v>
      </c>
      <c r="D71" s="6">
        <f t="shared" si="7"/>
        <v>24.731060046331169</v>
      </c>
      <c r="E71" s="6"/>
      <c r="F71" s="6">
        <f t="shared" si="6"/>
        <v>39.870923750294708</v>
      </c>
      <c r="G71" s="6">
        <f t="shared" si="6"/>
        <v>50.278841709221247</v>
      </c>
      <c r="H71" s="6">
        <f t="shared" si="6"/>
        <v>56.312705664944261</v>
      </c>
      <c r="I71" s="6">
        <f t="shared" si="6"/>
        <v>56.66716010211082</v>
      </c>
      <c r="J71" s="6">
        <f t="shared" si="6"/>
        <v>55.121254324478542</v>
      </c>
      <c r="K71" s="6">
        <f t="shared" si="6"/>
        <v>79.17541713785198</v>
      </c>
      <c r="L71" s="6">
        <f t="shared" si="6"/>
        <v>99.588586754710491</v>
      </c>
      <c r="M71" s="6">
        <f t="shared" si="6"/>
        <v>156.71547659607776</v>
      </c>
      <c r="N71" s="6">
        <f t="shared" si="6"/>
        <v>97.643136682980199</v>
      </c>
      <c r="O71" s="6">
        <f t="shared" si="6"/>
        <v>82.792997684114411</v>
      </c>
      <c r="P71" s="6">
        <f t="shared" si="6"/>
        <v>227.94621119715504</v>
      </c>
      <c r="Q71" s="6">
        <f t="shared" si="6"/>
        <v>102.29415563970352</v>
      </c>
      <c r="R71" s="6">
        <f t="shared" si="6"/>
        <v>243.61740571498538</v>
      </c>
      <c r="S71" s="6">
        <f t="shared" si="6"/>
        <v>161.64450082864226</v>
      </c>
      <c r="T71" s="6">
        <f t="shared" si="6"/>
        <v>260.73485041924943</v>
      </c>
      <c r="U71" s="6">
        <f t="shared" si="6"/>
        <v>169.55880548236868</v>
      </c>
      <c r="V71" s="6">
        <f t="shared" si="6"/>
        <v>172.18387978319916</v>
      </c>
      <c r="W71" s="6">
        <f t="shared" si="6"/>
        <v>189.59942113475432</v>
      </c>
      <c r="X71" s="6">
        <f t="shared" si="6"/>
        <v>199.94195230588963</v>
      </c>
      <c r="Y71" s="6">
        <f t="shared" si="6"/>
        <v>238.44938188625827</v>
      </c>
      <c r="Z71" s="6">
        <f t="shared" si="6"/>
        <v>253.56960898159224</v>
      </c>
      <c r="AA71" s="6">
        <f t="shared" si="6"/>
        <v>243.96701745400856</v>
      </c>
      <c r="AB71" s="6">
        <f t="shared" si="6"/>
        <v>221.10796112907605</v>
      </c>
    </row>
    <row r="72" spans="2:28" x14ac:dyDescent="0.2">
      <c r="B72" s="57">
        <v>19</v>
      </c>
      <c r="C72" s="6">
        <f t="shared" si="7"/>
        <v>15.340024017858241</v>
      </c>
      <c r="D72" s="6">
        <f t="shared" si="7"/>
        <v>22.828670811998002</v>
      </c>
      <c r="E72" s="6"/>
      <c r="F72" s="6">
        <f t="shared" si="6"/>
        <v>5.9806385625442058</v>
      </c>
      <c r="G72" s="6">
        <f t="shared" si="6"/>
        <v>23.044469116726404</v>
      </c>
      <c r="H72" s="6">
        <f t="shared" si="6"/>
        <v>46.927254720786877</v>
      </c>
      <c r="I72" s="6">
        <f t="shared" si="6"/>
        <v>19.710316557255936</v>
      </c>
      <c r="J72" s="6">
        <f t="shared" si="6"/>
        <v>29.181840524723935</v>
      </c>
      <c r="K72" s="6">
        <f t="shared" si="6"/>
        <v>37.259019829577412</v>
      </c>
      <c r="L72" s="6">
        <f t="shared" si="6"/>
        <v>36.690531962261765</v>
      </c>
      <c r="M72" s="6">
        <f t="shared" si="6"/>
        <v>65.298115248365733</v>
      </c>
      <c r="N72" s="6">
        <f t="shared" si="6"/>
        <v>105.15414719705561</v>
      </c>
      <c r="O72" s="6">
        <f t="shared" si="6"/>
        <v>57.955098378880081</v>
      </c>
      <c r="P72" s="6">
        <f t="shared" si="6"/>
        <v>56.986552799288759</v>
      </c>
      <c r="Q72" s="6">
        <f t="shared" si="6"/>
        <v>81.835324511762821</v>
      </c>
      <c r="R72" s="6">
        <f t="shared" si="6"/>
        <v>52.960305590214212</v>
      </c>
      <c r="S72" s="6">
        <f t="shared" si="6"/>
        <v>114.10200058492396</v>
      </c>
      <c r="T72" s="6">
        <f t="shared" si="6"/>
        <v>99.327562064475984</v>
      </c>
      <c r="U72" s="6">
        <f t="shared" si="6"/>
        <v>145.33611898488743</v>
      </c>
      <c r="V72" s="6">
        <f t="shared" si="6"/>
        <v>92.159078960892856</v>
      </c>
      <c r="W72" s="6">
        <f t="shared" si="6"/>
        <v>97.686215327888419</v>
      </c>
      <c r="X72" s="6">
        <f t="shared" si="6"/>
        <v>115.8691193804447</v>
      </c>
      <c r="Y72" s="6">
        <f t="shared" si="6"/>
        <v>133.21720692124606</v>
      </c>
      <c r="Z72" s="6">
        <f t="shared" si="6"/>
        <v>153.7135856739061</v>
      </c>
      <c r="AA72" s="6">
        <f t="shared" si="6"/>
        <v>136.39184553982724</v>
      </c>
      <c r="AB72" s="6">
        <f t="shared" si="6"/>
        <v>124.56820239882155</v>
      </c>
    </row>
    <row r="73" spans="2:28" x14ac:dyDescent="0.2">
      <c r="B73" s="8">
        <v>20</v>
      </c>
      <c r="C73" s="6">
        <f t="shared" si="7"/>
        <v>8.7657280102047093</v>
      </c>
      <c r="D73" s="6">
        <f t="shared" si="7"/>
        <v>11.414335405999001</v>
      </c>
      <c r="E73" s="6"/>
      <c r="F73" s="6">
        <f t="shared" si="6"/>
        <v>1.9935461875147353</v>
      </c>
      <c r="G73" s="6">
        <f t="shared" si="6"/>
        <v>0</v>
      </c>
      <c r="H73" s="6">
        <f t="shared" si="6"/>
        <v>12.513934592209834</v>
      </c>
      <c r="I73" s="6">
        <f t="shared" si="6"/>
        <v>24.63789569656992</v>
      </c>
      <c r="J73" s="6">
        <f t="shared" si="6"/>
        <v>6.4848534499386519</v>
      </c>
      <c r="K73" s="6">
        <f t="shared" si="6"/>
        <v>18.629509914788706</v>
      </c>
      <c r="L73" s="6">
        <f t="shared" si="6"/>
        <v>10.483009132074788</v>
      </c>
      <c r="M73" s="6">
        <f t="shared" si="6"/>
        <v>19.58943457450972</v>
      </c>
      <c r="N73" s="6">
        <f t="shared" si="6"/>
        <v>22.533031542226201</v>
      </c>
      <c r="O73" s="6">
        <f t="shared" si="6"/>
        <v>74.513697915702977</v>
      </c>
      <c r="P73" s="6">
        <f t="shared" si="6"/>
        <v>28.49327639964438</v>
      </c>
      <c r="Q73" s="6">
        <f t="shared" si="6"/>
        <v>30.688246691911054</v>
      </c>
      <c r="R73" s="6">
        <f t="shared" si="6"/>
        <v>10.592061118042842</v>
      </c>
      <c r="S73" s="6">
        <f t="shared" si="6"/>
        <v>19.017000097487326</v>
      </c>
      <c r="T73" s="6">
        <f t="shared" si="6"/>
        <v>49.663781032237992</v>
      </c>
      <c r="U73" s="6">
        <f t="shared" si="6"/>
        <v>72.668059492443717</v>
      </c>
      <c r="V73" s="6">
        <f t="shared" si="6"/>
        <v>34.382301855391674</v>
      </c>
      <c r="W73" s="6">
        <f t="shared" si="6"/>
        <v>36.422278560811506</v>
      </c>
      <c r="X73" s="6">
        <f t="shared" si="6"/>
        <v>44.823514401193165</v>
      </c>
      <c r="Y73" s="6">
        <f t="shared" si="6"/>
        <v>57.644083912332661</v>
      </c>
      <c r="Z73" s="6">
        <f t="shared" si="6"/>
        <v>64.775099742481416</v>
      </c>
      <c r="AA73" s="6">
        <f t="shared" si="6"/>
        <v>54.388142283938599</v>
      </c>
      <c r="AB73" s="6">
        <f t="shared" si="6"/>
        <v>50.22501701224833</v>
      </c>
    </row>
    <row r="75" spans="2:28" x14ac:dyDescent="0.2">
      <c r="B75" s="8" t="s">
        <v>203</v>
      </c>
      <c r="C75" s="6">
        <f>SUM(C54:C73)</f>
        <v>12096.704654082501</v>
      </c>
      <c r="D75" s="6">
        <f t="shared" ref="D75:AB75" si="8">SUM(D54:D73)</f>
        <v>12283.727286089261</v>
      </c>
      <c r="E75" s="6">
        <f t="shared" si="8"/>
        <v>0</v>
      </c>
      <c r="F75" s="6">
        <f t="shared" si="8"/>
        <v>9281.9510490686062</v>
      </c>
      <c r="G75" s="6">
        <f t="shared" si="8"/>
        <v>8754.8033126181508</v>
      </c>
      <c r="H75" s="6">
        <f t="shared" si="8"/>
        <v>10474.16325367963</v>
      </c>
      <c r="I75" s="6">
        <f t="shared" si="8"/>
        <v>7492.3840813269126</v>
      </c>
      <c r="J75" s="6">
        <f t="shared" si="8"/>
        <v>8060.6728382737456</v>
      </c>
      <c r="K75" s="6">
        <f t="shared" si="8"/>
        <v>8699.9811302063226</v>
      </c>
      <c r="L75" s="6">
        <f t="shared" si="8"/>
        <v>7857.0153444900534</v>
      </c>
      <c r="M75" s="6">
        <f t="shared" si="8"/>
        <v>7502.7534420372222</v>
      </c>
      <c r="N75" s="6">
        <f t="shared" si="8"/>
        <v>6527.0681367315237</v>
      </c>
      <c r="O75" s="6">
        <f t="shared" si="8"/>
        <v>6598.6019154239193</v>
      </c>
      <c r="P75" s="6">
        <f t="shared" si="8"/>
        <v>6942.8616827133455</v>
      </c>
      <c r="Q75" s="6">
        <f t="shared" si="8"/>
        <v>6004.6669360505975</v>
      </c>
      <c r="R75" s="6">
        <f t="shared" si="8"/>
        <v>5073.5972755425209</v>
      </c>
      <c r="S75" s="6">
        <f t="shared" si="8"/>
        <v>4278.8250219346482</v>
      </c>
      <c r="T75" s="6">
        <f t="shared" si="8"/>
        <v>4494.5721834175392</v>
      </c>
      <c r="U75" s="6">
        <f t="shared" si="8"/>
        <v>4117.856704571811</v>
      </c>
      <c r="V75" s="6">
        <f t="shared" si="8"/>
        <v>4261.6022292312018</v>
      </c>
      <c r="W75" s="6">
        <f t="shared" si="8"/>
        <v>4206.1129775233267</v>
      </c>
      <c r="X75" s="6">
        <f t="shared" si="8"/>
        <v>4494.1690282848704</v>
      </c>
      <c r="Y75" s="6">
        <f t="shared" si="8"/>
        <v>5202.7428267836258</v>
      </c>
      <c r="Z75" s="6">
        <f t="shared" si="8"/>
        <v>5843.2153692173397</v>
      </c>
      <c r="AA75" s="6">
        <f t="shared" si="8"/>
        <v>5565.019910671509</v>
      </c>
      <c r="AB75" s="6">
        <f t="shared" si="8"/>
        <v>4965.7561920646722</v>
      </c>
    </row>
    <row r="77" spans="2:28" x14ac:dyDescent="0.2">
      <c r="B77" s="8" t="s">
        <v>204</v>
      </c>
    </row>
    <row r="78" spans="2:28" x14ac:dyDescent="0.2">
      <c r="B78" s="8" t="s">
        <v>201</v>
      </c>
      <c r="C78" s="8">
        <v>1995</v>
      </c>
      <c r="D78" s="8">
        <v>1996</v>
      </c>
      <c r="E78" s="8">
        <v>1997</v>
      </c>
      <c r="F78" s="8">
        <v>1998</v>
      </c>
      <c r="G78" s="8">
        <v>1999</v>
      </c>
      <c r="H78" s="8">
        <v>2000</v>
      </c>
      <c r="I78" s="8">
        <v>2001</v>
      </c>
      <c r="J78" s="8">
        <v>2002</v>
      </c>
      <c r="K78" s="8">
        <v>2003</v>
      </c>
      <c r="L78" s="8">
        <v>2004</v>
      </c>
      <c r="M78" s="8">
        <v>2005</v>
      </c>
      <c r="N78" s="8">
        <v>2006</v>
      </c>
      <c r="O78" s="8">
        <v>2007</v>
      </c>
      <c r="P78" s="8">
        <v>2008</v>
      </c>
      <c r="Q78" s="8">
        <v>2009</v>
      </c>
      <c r="R78" s="8">
        <v>2010</v>
      </c>
      <c r="S78" s="8">
        <v>2011</v>
      </c>
      <c r="T78" s="8">
        <v>2012</v>
      </c>
      <c r="U78" s="8">
        <v>2013</v>
      </c>
      <c r="V78" s="56">
        <v>2014</v>
      </c>
      <c r="W78" s="56">
        <v>2015</v>
      </c>
      <c r="X78" s="56">
        <v>2016</v>
      </c>
      <c r="Y78" s="56">
        <v>2017</v>
      </c>
      <c r="Z78" s="56">
        <v>2018</v>
      </c>
      <c r="AA78" s="56">
        <v>2019</v>
      </c>
      <c r="AB78" s="56">
        <v>2020</v>
      </c>
    </row>
    <row r="79" spans="2:28" x14ac:dyDescent="0.2">
      <c r="B79" s="57">
        <v>1</v>
      </c>
      <c r="C79" s="5">
        <f>C4/C54</f>
        <v>0.10727979935881143</v>
      </c>
      <c r="D79" s="5">
        <f t="shared" ref="D79:AB90" si="9">D4/D54</f>
        <v>9.6048039144113431E-2</v>
      </c>
      <c r="E79" s="5">
        <f>AVERAGE(D79,F79)</f>
        <v>9.4953428486775793E-2</v>
      </c>
      <c r="F79" s="5">
        <f t="shared" si="9"/>
        <v>9.3858817829438168E-2</v>
      </c>
      <c r="G79" s="5">
        <f t="shared" si="9"/>
        <v>0.16787109314409634</v>
      </c>
      <c r="H79" s="5">
        <f t="shared" si="9"/>
        <v>0.10043715759887388</v>
      </c>
      <c r="I79" s="5">
        <f t="shared" si="9"/>
        <v>0.19466859117941712</v>
      </c>
      <c r="J79" s="5">
        <f t="shared" si="9"/>
        <v>0.13939184315691383</v>
      </c>
      <c r="K79" s="5">
        <f t="shared" si="9"/>
        <v>6.4819327029814217E-2</v>
      </c>
      <c r="L79" s="5">
        <f t="shared" si="9"/>
        <v>9.4057166390029173E-2</v>
      </c>
      <c r="M79" s="5">
        <f t="shared" si="9"/>
        <v>5.9753145127072159E-2</v>
      </c>
      <c r="N79" s="5">
        <f t="shared" si="9"/>
        <v>5.5827863735749675E-2</v>
      </c>
      <c r="O79" s="5">
        <f t="shared" si="9"/>
        <v>0</v>
      </c>
      <c r="P79" s="5">
        <f t="shared" si="9"/>
        <v>2.0489719532211952E-2</v>
      </c>
      <c r="Q79" s="5">
        <f t="shared" si="9"/>
        <v>0</v>
      </c>
      <c r="R79" s="5">
        <f t="shared" si="9"/>
        <v>6.5794161193116166E-2</v>
      </c>
      <c r="S79" s="5">
        <f t="shared" si="9"/>
        <v>3.2996870721715678E-2</v>
      </c>
      <c r="T79" s="5">
        <f t="shared" si="9"/>
        <v>3.9567120448666782E-2</v>
      </c>
      <c r="U79" s="5">
        <f t="shared" si="9"/>
        <v>9.4043599009408889E-3</v>
      </c>
      <c r="V79" s="5">
        <f t="shared" si="9"/>
        <v>1.1696183302621899E-2</v>
      </c>
      <c r="W79" s="5">
        <f t="shared" si="9"/>
        <v>1.5641879765600556E-2</v>
      </c>
      <c r="X79" s="5">
        <f t="shared" si="9"/>
        <v>1.6847833563773462E-2</v>
      </c>
      <c r="Y79" s="5">
        <f t="shared" si="9"/>
        <v>2.1934532523100816E-2</v>
      </c>
      <c r="Z79" s="5">
        <f t="shared" si="9"/>
        <v>2.137832312888251E-2</v>
      </c>
      <c r="AA79" s="5">
        <f t="shared" si="9"/>
        <v>3.085944963186333E-2</v>
      </c>
      <c r="AB79" s="5">
        <f t="shared" si="9"/>
        <v>3.5935265273438398E-2</v>
      </c>
    </row>
    <row r="80" spans="2:28" x14ac:dyDescent="0.2">
      <c r="B80" s="8">
        <v>2</v>
      </c>
      <c r="C80" s="5">
        <f t="shared" ref="C80:R95" si="10">C5/C55</f>
        <v>0.16369641372892663</v>
      </c>
      <c r="D80" s="5">
        <f t="shared" si="10"/>
        <v>5.9566710555694742E-2</v>
      </c>
      <c r="E80" s="5">
        <f>AVERAGE(D80,F80)</f>
        <v>6.3137419084147162E-2</v>
      </c>
      <c r="F80" s="5">
        <f t="shared" si="10"/>
        <v>6.6708127612599574E-2</v>
      </c>
      <c r="G80" s="5">
        <f t="shared" si="10"/>
        <v>0.14684358095712796</v>
      </c>
      <c r="H80" s="5">
        <f t="shared" si="10"/>
        <v>5.7357342924156896E-2</v>
      </c>
      <c r="I80" s="5">
        <f t="shared" si="10"/>
        <v>0.10193712627892856</v>
      </c>
      <c r="J80" s="5">
        <f t="shared" si="10"/>
        <v>9.6439705439957835E-2</v>
      </c>
      <c r="K80" s="5">
        <f t="shared" si="10"/>
        <v>7.359819692439018E-2</v>
      </c>
      <c r="L80" s="5">
        <f t="shared" si="10"/>
        <v>6.0505311542565526E-2</v>
      </c>
      <c r="M80" s="5">
        <f t="shared" si="10"/>
        <v>7.6290993823766376E-2</v>
      </c>
      <c r="N80" s="5">
        <f t="shared" si="10"/>
        <v>4.5858602354365799E-2</v>
      </c>
      <c r="O80" s="5">
        <f t="shared" si="10"/>
        <v>2.3520931425656973E-2</v>
      </c>
      <c r="P80" s="5">
        <f t="shared" si="10"/>
        <v>1.9783177479377058E-2</v>
      </c>
      <c r="Q80" s="5">
        <f t="shared" si="10"/>
        <v>2.7001511053301012E-2</v>
      </c>
      <c r="R80" s="5">
        <f t="shared" si="10"/>
        <v>7.2678732084612771E-2</v>
      </c>
      <c r="S80" s="5">
        <f t="shared" si="9"/>
        <v>5.8319356814053348E-2</v>
      </c>
      <c r="T80" s="5">
        <f t="shared" si="9"/>
        <v>1.7482938268687163E-2</v>
      </c>
      <c r="U80" s="5">
        <f t="shared" si="9"/>
        <v>1.0577293765696407E-2</v>
      </c>
      <c r="V80" s="5">
        <f t="shared" si="9"/>
        <v>1.0020540995800478E-2</v>
      </c>
      <c r="W80" s="5">
        <f t="shared" si="9"/>
        <v>1.4600097646079382E-2</v>
      </c>
      <c r="X80" s="5">
        <f t="shared" si="9"/>
        <v>1.5351898231580287E-2</v>
      </c>
      <c r="Y80" s="5">
        <f t="shared" si="9"/>
        <v>1.7547965706701724E-2</v>
      </c>
      <c r="Z80" s="5">
        <f t="shared" si="9"/>
        <v>1.9609737753434543E-2</v>
      </c>
      <c r="AA80" s="5">
        <f t="shared" si="9"/>
        <v>2.7218745617665855E-2</v>
      </c>
      <c r="AB80" s="5">
        <f t="shared" si="9"/>
        <v>3.1872142813090316E-2</v>
      </c>
    </row>
    <row r="81" spans="2:28" x14ac:dyDescent="0.2">
      <c r="B81" s="57">
        <v>3</v>
      </c>
      <c r="C81" s="5">
        <f t="shared" si="10"/>
        <v>0.11311486215949294</v>
      </c>
      <c r="D81" s="5">
        <f t="shared" si="9"/>
        <v>7.7736430442180232E-2</v>
      </c>
      <c r="E81" s="5">
        <f t="shared" ref="E81:E98" si="11">AVERAGE(D81,F81)</f>
        <v>9.8301275581198944E-2</v>
      </c>
      <c r="F81" s="5">
        <f t="shared" si="9"/>
        <v>0.11886612072021766</v>
      </c>
      <c r="G81" s="5">
        <f t="shared" si="9"/>
        <v>0.16632283149225716</v>
      </c>
      <c r="H81" s="5">
        <f t="shared" si="9"/>
        <v>8.1685669040750808E-2</v>
      </c>
      <c r="I81" s="5">
        <f t="shared" si="9"/>
        <v>0.13212460894911265</v>
      </c>
      <c r="J81" s="5">
        <f t="shared" si="9"/>
        <v>0.13888125032483722</v>
      </c>
      <c r="K81" s="5">
        <f t="shared" si="9"/>
        <v>7.494061729692808E-2</v>
      </c>
      <c r="L81" s="5">
        <f t="shared" si="9"/>
        <v>9.2956257179581656E-2</v>
      </c>
      <c r="M81" s="5">
        <f t="shared" si="9"/>
        <v>7.3428705455197918E-2</v>
      </c>
      <c r="N81" s="5">
        <f t="shared" si="9"/>
        <v>3.9661493928100151E-2</v>
      </c>
      <c r="O81" s="5">
        <f t="shared" si="9"/>
        <v>3.5468071197419238E-2</v>
      </c>
      <c r="P81" s="5">
        <f t="shared" si="9"/>
        <v>2.7319626042949265E-2</v>
      </c>
      <c r="Q81" s="5">
        <f t="shared" si="9"/>
        <v>5.8157100730186789E-2</v>
      </c>
      <c r="R81" s="5">
        <f t="shared" si="9"/>
        <v>5.3331710672708824E-2</v>
      </c>
      <c r="S81" s="5">
        <f t="shared" si="9"/>
        <v>8.1699144209185393E-2</v>
      </c>
      <c r="T81" s="5">
        <f t="shared" si="9"/>
        <v>4.1159688536536392E-2</v>
      </c>
      <c r="U81" s="5">
        <f t="shared" si="9"/>
        <v>7.4705654781483883E-3</v>
      </c>
      <c r="V81" s="5">
        <f t="shared" si="9"/>
        <v>1.1683943686767999E-2</v>
      </c>
      <c r="W81" s="5">
        <f t="shared" si="9"/>
        <v>1.6961432301121831E-2</v>
      </c>
      <c r="X81" s="5">
        <f t="shared" si="9"/>
        <v>1.9292700018962487E-2</v>
      </c>
      <c r="Y81" s="5">
        <f t="shared" si="9"/>
        <v>2.1761600944660179E-2</v>
      </c>
      <c r="Z81" s="5">
        <f t="shared" si="9"/>
        <v>2.1056126814824945E-2</v>
      </c>
      <c r="AA81" s="5">
        <f t="shared" si="9"/>
        <v>3.2060727103960469E-2</v>
      </c>
      <c r="AB81" s="5">
        <f t="shared" si="9"/>
        <v>3.7616404653265448E-2</v>
      </c>
    </row>
    <row r="82" spans="2:28" x14ac:dyDescent="0.2">
      <c r="B82" s="8">
        <v>4</v>
      </c>
      <c r="C82" s="5">
        <f t="shared" si="10"/>
        <v>0.12796327326892493</v>
      </c>
      <c r="D82" s="5">
        <f t="shared" si="9"/>
        <v>8.8631692857479294E-2</v>
      </c>
      <c r="E82" s="5">
        <f t="shared" si="11"/>
        <v>9.7566047284162294E-2</v>
      </c>
      <c r="F82" s="5">
        <f t="shared" si="9"/>
        <v>0.10650040171084531</v>
      </c>
      <c r="G82" s="5">
        <f t="shared" si="9"/>
        <v>0.15345199785308808</v>
      </c>
      <c r="H82" s="5">
        <f t="shared" si="9"/>
        <v>8.298226696203255E-2</v>
      </c>
      <c r="I82" s="5">
        <f t="shared" si="9"/>
        <v>0.12309044765344683</v>
      </c>
      <c r="J82" s="5">
        <f t="shared" si="9"/>
        <v>0.13245058267450655</v>
      </c>
      <c r="K82" s="5">
        <f t="shared" si="9"/>
        <v>9.6872840396205875E-2</v>
      </c>
      <c r="L82" s="5">
        <f t="shared" si="9"/>
        <v>9.8659249174112729E-2</v>
      </c>
      <c r="M82" s="5">
        <f t="shared" si="9"/>
        <v>7.708846065816112E-2</v>
      </c>
      <c r="N82" s="5">
        <f t="shared" si="9"/>
        <v>2.5595498988483237E-2</v>
      </c>
      <c r="O82" s="5">
        <f t="shared" si="9"/>
        <v>1.8056472609595253E-2</v>
      </c>
      <c r="P82" s="5">
        <f t="shared" si="9"/>
        <v>2.5842889500087146E-2</v>
      </c>
      <c r="Q82" s="5">
        <f t="shared" si="9"/>
        <v>5.2140848930512296E-2</v>
      </c>
      <c r="R82" s="5">
        <f t="shared" si="9"/>
        <v>5.9099333804957736E-2</v>
      </c>
      <c r="S82" s="5">
        <f t="shared" si="9"/>
        <v>4.0648186931159611E-2</v>
      </c>
      <c r="T82" s="5">
        <f t="shared" si="9"/>
        <v>4.2649203212422174E-2</v>
      </c>
      <c r="U82" s="5">
        <f t="shared" si="9"/>
        <v>1.290152559935074E-2</v>
      </c>
      <c r="V82" s="5">
        <f t="shared" si="9"/>
        <v>1.1559168669635409E-2</v>
      </c>
      <c r="W82" s="5">
        <f t="shared" si="9"/>
        <v>1.7399965853280398E-2</v>
      </c>
      <c r="X82" s="5">
        <f t="shared" si="9"/>
        <v>1.9470644470242326E-2</v>
      </c>
      <c r="Y82" s="5">
        <f t="shared" si="9"/>
        <v>2.4907172550265682E-2</v>
      </c>
      <c r="Z82" s="5">
        <f t="shared" si="9"/>
        <v>2.4482001703676037E-2</v>
      </c>
      <c r="AA82" s="5">
        <f t="shared" si="9"/>
        <v>3.4118072541138141E-2</v>
      </c>
      <c r="AB82" s="5">
        <f t="shared" si="9"/>
        <v>4.0634373208682351E-2</v>
      </c>
    </row>
    <row r="83" spans="2:28" x14ac:dyDescent="0.2">
      <c r="B83" s="57">
        <v>5</v>
      </c>
      <c r="C83" s="5">
        <f t="shared" si="10"/>
        <v>0.20706228944231767</v>
      </c>
      <c r="D83" s="5">
        <f t="shared" si="9"/>
        <v>8.1023221503157369E-2</v>
      </c>
      <c r="E83" s="5">
        <f t="shared" si="11"/>
        <v>9.3649809381692123E-2</v>
      </c>
      <c r="F83" s="5">
        <f t="shared" si="9"/>
        <v>0.10627639726022689</v>
      </c>
      <c r="G83" s="5">
        <f t="shared" si="9"/>
        <v>0.14977417972272541</v>
      </c>
      <c r="H83" s="5">
        <f t="shared" si="9"/>
        <v>7.6200467479348666E-2</v>
      </c>
      <c r="I83" s="5">
        <f t="shared" si="9"/>
        <v>0.14891653142506681</v>
      </c>
      <c r="J83" s="5">
        <f t="shared" si="9"/>
        <v>0.16126861854126284</v>
      </c>
      <c r="K83" s="5">
        <f t="shared" si="9"/>
        <v>8.8691189278015795E-2</v>
      </c>
      <c r="L83" s="5">
        <f t="shared" si="9"/>
        <v>8.7502660021386028E-2</v>
      </c>
      <c r="M83" s="5">
        <f t="shared" si="9"/>
        <v>6.1591703438674372E-2</v>
      </c>
      <c r="N83" s="5">
        <f t="shared" si="9"/>
        <v>2.822067837191742E-2</v>
      </c>
      <c r="O83" s="5">
        <f t="shared" si="9"/>
        <v>2.2344884854374126E-2</v>
      </c>
      <c r="P83" s="5">
        <f t="shared" si="9"/>
        <v>2.4675791264599341E-2</v>
      </c>
      <c r="Q83" s="5">
        <f t="shared" si="9"/>
        <v>4.0502266579951512E-2</v>
      </c>
      <c r="R83" s="5">
        <f t="shared" si="9"/>
        <v>4.5858853949749645E-2</v>
      </c>
      <c r="S83" s="5">
        <f t="shared" si="9"/>
        <v>4.4975785424360412E-2</v>
      </c>
      <c r="T83" s="5">
        <f t="shared" si="9"/>
        <v>2.1187274821820097E-2</v>
      </c>
      <c r="U83" s="5">
        <f t="shared" si="9"/>
        <v>1.3459364081873568E-2</v>
      </c>
      <c r="V83" s="5">
        <f t="shared" si="9"/>
        <v>9.4482866075844742E-3</v>
      </c>
      <c r="W83" s="5">
        <f t="shared" si="9"/>
        <v>1.4040049106094361E-2</v>
      </c>
      <c r="X83" s="5">
        <f t="shared" si="9"/>
        <v>1.5838510203093292E-2</v>
      </c>
      <c r="Y83" s="5">
        <f t="shared" si="9"/>
        <v>1.8934800498117171E-2</v>
      </c>
      <c r="Z83" s="5">
        <f t="shared" si="9"/>
        <v>2.0426423802910477E-2</v>
      </c>
      <c r="AA83" s="5">
        <f t="shared" si="9"/>
        <v>2.7504550768160465E-2</v>
      </c>
      <c r="AB83" s="5">
        <f t="shared" si="9"/>
        <v>3.2661463648255611E-2</v>
      </c>
    </row>
    <row r="84" spans="2:28" x14ac:dyDescent="0.2">
      <c r="B84" s="8">
        <v>6</v>
      </c>
      <c r="C84" s="5">
        <f t="shared" si="10"/>
        <v>0.14511446132303371</v>
      </c>
      <c r="D84" s="5">
        <f t="shared" si="9"/>
        <v>7.5747968592340287E-2</v>
      </c>
      <c r="E84" s="5">
        <f t="shared" si="11"/>
        <v>9.8557025687662211E-2</v>
      </c>
      <c r="F84" s="5">
        <f t="shared" si="9"/>
        <v>0.12136608278298414</v>
      </c>
      <c r="G84" s="5">
        <f t="shared" si="9"/>
        <v>0.13990680486077761</v>
      </c>
      <c r="H84" s="5">
        <f t="shared" si="9"/>
        <v>4.81544856639377E-2</v>
      </c>
      <c r="I84" s="5">
        <f t="shared" si="9"/>
        <v>0.12598521278231112</v>
      </c>
      <c r="J84" s="5">
        <f t="shared" si="9"/>
        <v>0.12604581562061359</v>
      </c>
      <c r="K84" s="5">
        <f t="shared" si="9"/>
        <v>7.5122600340388299E-2</v>
      </c>
      <c r="L84" s="5">
        <f t="shared" si="9"/>
        <v>0.10463859760890747</v>
      </c>
      <c r="M84" s="5">
        <f t="shared" si="9"/>
        <v>3.6329044677983986E-2</v>
      </c>
      <c r="N84" s="5">
        <f t="shared" si="9"/>
        <v>7.9754091051070959E-3</v>
      </c>
      <c r="O84" s="5">
        <f t="shared" si="9"/>
        <v>1.9016923280318402E-2</v>
      </c>
      <c r="P84" s="5">
        <f t="shared" si="9"/>
        <v>1.5505733700052289E-2</v>
      </c>
      <c r="Q84" s="5">
        <f t="shared" si="9"/>
        <v>3.200179087798638E-2</v>
      </c>
      <c r="R84" s="5">
        <f t="shared" si="9"/>
        <v>3.0446108270274788E-2</v>
      </c>
      <c r="S84" s="5">
        <f t="shared" si="9"/>
        <v>2.7762239642701872E-2</v>
      </c>
      <c r="T84" s="5">
        <f t="shared" si="9"/>
        <v>2.0979751033459799E-2</v>
      </c>
      <c r="U84" s="5">
        <f t="shared" si="9"/>
        <v>4.8353861761931674E-3</v>
      </c>
      <c r="V84" s="5">
        <f t="shared" si="9"/>
        <v>6.4190085143517213E-3</v>
      </c>
      <c r="W84" s="5">
        <f t="shared" si="9"/>
        <v>9.000264028805988E-3</v>
      </c>
      <c r="X84" s="5">
        <f t="shared" si="9"/>
        <v>1.0079599418515063E-2</v>
      </c>
      <c r="Y84" s="5">
        <f t="shared" si="9"/>
        <v>1.2118305003623422E-2</v>
      </c>
      <c r="Z84" s="5">
        <f t="shared" si="9"/>
        <v>1.1889673988430778E-2</v>
      </c>
      <c r="AA84" s="5">
        <f t="shared" si="9"/>
        <v>1.7471822693462834E-2</v>
      </c>
      <c r="AB84" s="5">
        <f t="shared" si="9"/>
        <v>2.0467038632602279E-2</v>
      </c>
    </row>
    <row r="85" spans="2:28" x14ac:dyDescent="0.2">
      <c r="B85" s="57">
        <v>7</v>
      </c>
      <c r="C85" s="5">
        <f t="shared" si="10"/>
        <v>9.1815047914841713E-2</v>
      </c>
      <c r="D85" s="5">
        <f t="shared" si="9"/>
        <v>9.6017667262269235E-2</v>
      </c>
      <c r="E85" s="5">
        <f t="shared" si="11"/>
        <v>0.10556638771098543</v>
      </c>
      <c r="F85" s="5">
        <f t="shared" si="9"/>
        <v>0.11511510815970163</v>
      </c>
      <c r="G85" s="5">
        <f t="shared" si="9"/>
        <v>0.13585163917328263</v>
      </c>
      <c r="H85" s="5">
        <f t="shared" si="9"/>
        <v>5.8324679064742875E-2</v>
      </c>
      <c r="I85" s="5">
        <f t="shared" si="9"/>
        <v>0.11752703759001421</v>
      </c>
      <c r="J85" s="5">
        <f t="shared" si="9"/>
        <v>0.11784606094851989</v>
      </c>
      <c r="K85" s="5">
        <f t="shared" si="9"/>
        <v>8.4216388802645856E-2</v>
      </c>
      <c r="L85" s="5">
        <f t="shared" si="9"/>
        <v>5.4357713043588281E-2</v>
      </c>
      <c r="M85" s="5">
        <f t="shared" si="9"/>
        <v>2.4312514515266202E-2</v>
      </c>
      <c r="N85" s="5">
        <f t="shared" si="9"/>
        <v>4.5858602354365799E-2</v>
      </c>
      <c r="O85" s="5">
        <f t="shared" si="9"/>
        <v>2.708470891439288E-2</v>
      </c>
      <c r="P85" s="5">
        <f t="shared" si="9"/>
        <v>8.6926082863929485E-3</v>
      </c>
      <c r="Q85" s="5">
        <f t="shared" si="9"/>
        <v>4.0502266579951512E-2</v>
      </c>
      <c r="R85" s="5">
        <f t="shared" si="9"/>
        <v>3.4948706681912391E-2</v>
      </c>
      <c r="S85" s="5">
        <f t="shared" si="9"/>
        <v>2.5800274079841333E-2</v>
      </c>
      <c r="T85" s="5">
        <f t="shared" si="9"/>
        <v>1.8657517623344454E-2</v>
      </c>
      <c r="U85" s="5">
        <f t="shared" si="9"/>
        <v>6.702203732771481E-3</v>
      </c>
      <c r="V85" s="5">
        <f t="shared" si="9"/>
        <v>6.6580472156652472E-3</v>
      </c>
      <c r="W85" s="5">
        <f t="shared" si="9"/>
        <v>9.617106952940534E-3</v>
      </c>
      <c r="X85" s="5">
        <f t="shared" si="9"/>
        <v>1.0621301542138046E-2</v>
      </c>
      <c r="Y85" s="5">
        <f t="shared" si="9"/>
        <v>1.3099969780679498E-2</v>
      </c>
      <c r="Z85" s="5">
        <f t="shared" si="9"/>
        <v>1.3328041564338606E-2</v>
      </c>
      <c r="AA85" s="5">
        <f t="shared" si="9"/>
        <v>1.87307815069436E-2</v>
      </c>
      <c r="AB85" s="5">
        <f t="shared" si="9"/>
        <v>2.2086103106934714E-2</v>
      </c>
    </row>
    <row r="86" spans="2:28" x14ac:dyDescent="0.2">
      <c r="B86" s="8">
        <v>8</v>
      </c>
      <c r="C86" s="5">
        <f t="shared" si="10"/>
        <v>0.12144330805757432</v>
      </c>
      <c r="D86" s="5">
        <f t="shared" si="9"/>
        <v>0.10521584066569285</v>
      </c>
      <c r="E86" s="5">
        <f t="shared" si="11"/>
        <v>0.1069132435343898</v>
      </c>
      <c r="F86" s="5">
        <f t="shared" si="9"/>
        <v>0.10861064640308674</v>
      </c>
      <c r="G86" s="5">
        <f t="shared" si="9"/>
        <v>0.15423156682613853</v>
      </c>
      <c r="H86" s="5">
        <f t="shared" si="9"/>
        <v>8.5063856031588642E-2</v>
      </c>
      <c r="I86" s="5">
        <f t="shared" si="9"/>
        <v>9.8049988939632904E-2</v>
      </c>
      <c r="J86" s="5">
        <f t="shared" si="9"/>
        <v>9.8735888902813956E-2</v>
      </c>
      <c r="K86" s="5">
        <f t="shared" si="9"/>
        <v>6.9368990776745854E-2</v>
      </c>
      <c r="L86" s="5">
        <f t="shared" si="9"/>
        <v>7.5794557624158321E-2</v>
      </c>
      <c r="M86" s="5">
        <f t="shared" si="9"/>
        <v>5.2677114783076774E-2</v>
      </c>
      <c r="N86" s="5">
        <f t="shared" si="9"/>
        <v>7.9754091051070959E-3</v>
      </c>
      <c r="O86" s="5">
        <f t="shared" si="9"/>
        <v>0</v>
      </c>
      <c r="P86" s="5">
        <f t="shared" si="9"/>
        <v>1.0065125384244467E-2</v>
      </c>
      <c r="Q86" s="5">
        <f t="shared" si="9"/>
        <v>1.6200906631980604E-2</v>
      </c>
      <c r="R86" s="5">
        <f t="shared" si="9"/>
        <v>2.4612209430419977E-2</v>
      </c>
      <c r="S86" s="5">
        <f t="shared" si="9"/>
        <v>2.2442607451764126E-2</v>
      </c>
      <c r="T86" s="5">
        <f t="shared" si="9"/>
        <v>1.1798078765210867E-2</v>
      </c>
      <c r="U86" s="5">
        <f t="shared" si="9"/>
        <v>4.3203175850192593E-3</v>
      </c>
      <c r="V86" s="5">
        <f t="shared" si="9"/>
        <v>4.5490206704217632E-3</v>
      </c>
      <c r="W86" s="5">
        <f t="shared" si="9"/>
        <v>6.7376518598005692E-3</v>
      </c>
      <c r="X86" s="5">
        <f t="shared" si="9"/>
        <v>7.4340020697900196E-3</v>
      </c>
      <c r="Y86" s="5">
        <f t="shared" si="9"/>
        <v>8.7924161400205376E-3</v>
      </c>
      <c r="Z86" s="5">
        <f t="shared" si="9"/>
        <v>9.0615063984084507E-3</v>
      </c>
      <c r="AA86" s="5">
        <f t="shared" si="9"/>
        <v>1.2864633168329807E-2</v>
      </c>
      <c r="AB86" s="5">
        <f t="shared" si="9"/>
        <v>1.5185243209342092E-2</v>
      </c>
    </row>
    <row r="87" spans="2:28" x14ac:dyDescent="0.2">
      <c r="B87" s="57">
        <v>9</v>
      </c>
      <c r="C87" s="5">
        <f t="shared" si="10"/>
        <v>6.0767830191546697E-2</v>
      </c>
      <c r="D87" s="5">
        <f t="shared" si="9"/>
        <v>6.5745172554822651E-2</v>
      </c>
      <c r="E87" s="5">
        <f t="shared" si="11"/>
        <v>8.945115556646116E-2</v>
      </c>
      <c r="F87" s="5">
        <f t="shared" si="9"/>
        <v>0.11315713857809966</v>
      </c>
      <c r="G87" s="5">
        <f t="shared" si="9"/>
        <v>0.12368288607445899</v>
      </c>
      <c r="H87" s="5">
        <f t="shared" si="9"/>
        <v>4.8983054749248363E-2</v>
      </c>
      <c r="I87" s="5">
        <f t="shared" si="9"/>
        <v>0.12430744360482272</v>
      </c>
      <c r="J87" s="5">
        <f t="shared" si="9"/>
        <v>9.016976155508126E-2</v>
      </c>
      <c r="K87" s="5">
        <f t="shared" si="9"/>
        <v>6.2382510224182106E-2</v>
      </c>
      <c r="L87" s="5">
        <f t="shared" si="9"/>
        <v>7.2014050492053089E-2</v>
      </c>
      <c r="M87" s="5">
        <f t="shared" si="9"/>
        <v>6.1973076215384434E-2</v>
      </c>
      <c r="N87" s="5">
        <f t="shared" si="9"/>
        <v>1.146465058859145E-2</v>
      </c>
      <c r="O87" s="5">
        <f t="shared" si="9"/>
        <v>1.9862119870554779E-2</v>
      </c>
      <c r="P87" s="5">
        <f t="shared" si="9"/>
        <v>9.5618691150322448E-3</v>
      </c>
      <c r="Q87" s="5">
        <f t="shared" si="9"/>
        <v>3.085886977520115E-2</v>
      </c>
      <c r="R87" s="5">
        <f t="shared" si="9"/>
        <v>1.7354427240805017E-2</v>
      </c>
      <c r="S87" s="5">
        <f t="shared" si="9"/>
        <v>1.9495918651063496E-2</v>
      </c>
      <c r="T87" s="5">
        <f t="shared" si="9"/>
        <v>1.3393585372596042E-2</v>
      </c>
      <c r="U87" s="5">
        <f t="shared" si="9"/>
        <v>3.5231339582938248E-3</v>
      </c>
      <c r="V87" s="5">
        <f t="shared" si="9"/>
        <v>4.1658376062208491E-3</v>
      </c>
      <c r="W87" s="5">
        <f t="shared" si="9"/>
        <v>5.898125471728047E-3</v>
      </c>
      <c r="X87" s="5">
        <f t="shared" si="9"/>
        <v>6.8125463627043649E-3</v>
      </c>
      <c r="Y87" s="5">
        <f t="shared" si="9"/>
        <v>8.1329174351392197E-3</v>
      </c>
      <c r="Z87" s="5">
        <f t="shared" si="9"/>
        <v>8.047707491657766E-3</v>
      </c>
      <c r="AA87" s="5">
        <f t="shared" si="9"/>
        <v>1.162901072602813E-2</v>
      </c>
      <c r="AB87" s="5">
        <f t="shared" si="9"/>
        <v>1.3690745672241987E-2</v>
      </c>
    </row>
    <row r="88" spans="2:28" x14ac:dyDescent="0.2">
      <c r="B88" s="8">
        <v>10</v>
      </c>
      <c r="C88" s="5">
        <f t="shared" si="10"/>
        <v>7.9118511586023663E-2</v>
      </c>
      <c r="D88" s="5">
        <f t="shared" si="9"/>
        <v>7.0494823804030368E-2</v>
      </c>
      <c r="E88" s="5">
        <f t="shared" si="11"/>
        <v>8.3651480108718534E-2</v>
      </c>
      <c r="F88" s="5">
        <f t="shared" si="9"/>
        <v>9.6808136413406701E-2</v>
      </c>
      <c r="G88" s="5">
        <f t="shared" si="9"/>
        <v>0.14519680254983014</v>
      </c>
      <c r="H88" s="5">
        <f t="shared" si="9"/>
        <v>6.1231635497450115E-2</v>
      </c>
      <c r="I88" s="5">
        <f t="shared" si="9"/>
        <v>0.12478435289638416</v>
      </c>
      <c r="J88" s="5">
        <f t="shared" si="9"/>
        <v>8.3376972851265121E-2</v>
      </c>
      <c r="K88" s="5">
        <f t="shared" si="9"/>
        <v>6.509328868251843E-2</v>
      </c>
      <c r="L88" s="5">
        <f t="shared" si="9"/>
        <v>4.1162181254021567E-2</v>
      </c>
      <c r="M88" s="5">
        <f t="shared" si="9"/>
        <v>5.4703157659348953E-2</v>
      </c>
      <c r="N88" s="5">
        <f t="shared" si="9"/>
        <v>3.0572401569577204E-2</v>
      </c>
      <c r="O88" s="5">
        <f t="shared" si="9"/>
        <v>0</v>
      </c>
      <c r="P88" s="5">
        <f t="shared" si="9"/>
        <v>2.7319626042949269E-2</v>
      </c>
      <c r="Q88" s="5">
        <f t="shared" si="9"/>
        <v>1.2000671579244894E-2</v>
      </c>
      <c r="R88" s="5">
        <f t="shared" si="9"/>
        <v>1.9354464362406107E-2</v>
      </c>
      <c r="S88" s="5">
        <f t="shared" si="9"/>
        <v>1.3703417128742446E-2</v>
      </c>
      <c r="T88" s="5">
        <f t="shared" si="9"/>
        <v>1.066939235989482E-2</v>
      </c>
      <c r="U88" s="5">
        <f t="shared" si="9"/>
        <v>4.076875729662025E-3</v>
      </c>
      <c r="V88" s="5">
        <f t="shared" si="9"/>
        <v>3.8516312670567746E-3</v>
      </c>
      <c r="W88" s="5">
        <f t="shared" si="9"/>
        <v>5.4479186652252711E-3</v>
      </c>
      <c r="X88" s="5">
        <f t="shared" si="9"/>
        <v>6.0425823047271579E-3</v>
      </c>
      <c r="Y88" s="5">
        <f t="shared" si="9"/>
        <v>7.5707283110918976E-3</v>
      </c>
      <c r="Z88" s="5">
        <f t="shared" si="9"/>
        <v>7.7196053077935207E-3</v>
      </c>
      <c r="AA88" s="5">
        <f t="shared" si="9"/>
        <v>1.075397539068995E-2</v>
      </c>
      <c r="AB88" s="5">
        <f t="shared" si="9"/>
        <v>1.2661063923973412E-2</v>
      </c>
    </row>
    <row r="89" spans="2:28" x14ac:dyDescent="0.2">
      <c r="B89" s="57">
        <v>11</v>
      </c>
      <c r="C89" s="5">
        <f t="shared" si="10"/>
        <v>0.10051534176337598</v>
      </c>
      <c r="D89" s="5">
        <f t="shared" si="9"/>
        <v>0.11956971680783113</v>
      </c>
      <c r="E89" s="5">
        <f t="shared" si="11"/>
        <v>0.10476611077372436</v>
      </c>
      <c r="F89" s="5">
        <f t="shared" si="9"/>
        <v>8.9962504739617588E-2</v>
      </c>
      <c r="G89" s="5">
        <f t="shared" si="9"/>
        <v>0.16110209745280213</v>
      </c>
      <c r="H89" s="5">
        <f t="shared" si="9"/>
        <v>7.0753301304469871E-2</v>
      </c>
      <c r="I89" s="5">
        <f t="shared" si="9"/>
        <v>9.7334295589708561E-2</v>
      </c>
      <c r="J89" s="5">
        <f t="shared" si="9"/>
        <v>8.9649764157156239E-2</v>
      </c>
      <c r="K89" s="5">
        <f t="shared" si="9"/>
        <v>6.8562692420593777E-2</v>
      </c>
      <c r="L89" s="5">
        <f t="shared" si="9"/>
        <v>5.800860421815765E-2</v>
      </c>
      <c r="M89" s="5">
        <f t="shared" si="9"/>
        <v>3.3269756705101121E-2</v>
      </c>
      <c r="N89" s="5">
        <f t="shared" si="9"/>
        <v>0</v>
      </c>
      <c r="O89" s="5">
        <f t="shared" si="9"/>
        <v>0</v>
      </c>
      <c r="P89" s="5">
        <f t="shared" si="9"/>
        <v>6.5943924931256863E-3</v>
      </c>
      <c r="Q89" s="5">
        <f t="shared" si="9"/>
        <v>2.6183283445625222E-2</v>
      </c>
      <c r="R89" s="5">
        <f t="shared" si="9"/>
        <v>1.426920158224668E-2</v>
      </c>
      <c r="S89" s="5">
        <f t="shared" si="9"/>
        <v>1.2239643055267689E-2</v>
      </c>
      <c r="T89" s="5">
        <f t="shared" si="9"/>
        <v>7.2251375527613813E-3</v>
      </c>
      <c r="U89" s="5">
        <f t="shared" si="9"/>
        <v>2.4588316154570021E-3</v>
      </c>
      <c r="V89" s="5">
        <f t="shared" si="9"/>
        <v>2.8556537880148115E-3</v>
      </c>
      <c r="W89" s="5">
        <f t="shared" si="9"/>
        <v>3.9584909997129828E-3</v>
      </c>
      <c r="X89" s="5">
        <f t="shared" si="9"/>
        <v>4.3784634955801914E-3</v>
      </c>
      <c r="Y89" s="5">
        <f t="shared" si="9"/>
        <v>5.2495063537711193E-3</v>
      </c>
      <c r="Z89" s="5">
        <f t="shared" si="9"/>
        <v>5.3799359505161673E-3</v>
      </c>
      <c r="AA89" s="5">
        <f t="shared" si="9"/>
        <v>7.7033188035527736E-3</v>
      </c>
      <c r="AB89" s="5">
        <f t="shared" si="9"/>
        <v>9.0082436598821342E-3</v>
      </c>
    </row>
    <row r="90" spans="2:28" x14ac:dyDescent="0.2">
      <c r="B90" s="8">
        <v>12</v>
      </c>
      <c r="C90" s="5">
        <f t="shared" si="10"/>
        <v>4.506185904241574E-2</v>
      </c>
      <c r="D90" s="5">
        <f t="shared" si="9"/>
        <v>0.10934264366867179</v>
      </c>
      <c r="E90" s="5">
        <f t="shared" si="11"/>
        <v>0.10982653088969893</v>
      </c>
      <c r="F90" s="5">
        <f t="shared" si="9"/>
        <v>0.11031041811072609</v>
      </c>
      <c r="G90" s="5">
        <f t="shared" si="9"/>
        <v>0.10804683939743219</v>
      </c>
      <c r="H90" s="5">
        <f t="shared" si="9"/>
        <v>7.4122506128492235E-2</v>
      </c>
      <c r="I90" s="5">
        <f t="shared" si="9"/>
        <v>0.10802874730766641</v>
      </c>
      <c r="J90" s="5">
        <f t="shared" ref="D90:AB98" si="12">J15/J65</f>
        <v>7.9713378196767243E-2</v>
      </c>
      <c r="K90" s="5">
        <f t="shared" si="12"/>
        <v>7.5886041400758109E-2</v>
      </c>
      <c r="L90" s="5">
        <f t="shared" si="12"/>
        <v>5.7075598695767692E-2</v>
      </c>
      <c r="M90" s="5">
        <f t="shared" si="12"/>
        <v>4.7051403495563728E-2</v>
      </c>
      <c r="N90" s="5">
        <f t="shared" si="12"/>
        <v>3.9448260089777034E-3</v>
      </c>
      <c r="O90" s="5">
        <f t="shared" si="12"/>
        <v>2.5177335047182114E-2</v>
      </c>
      <c r="P90" s="5">
        <f t="shared" si="12"/>
        <v>0</v>
      </c>
      <c r="Q90" s="5">
        <f t="shared" si="12"/>
        <v>9.0005036844336712E-3</v>
      </c>
      <c r="R90" s="5">
        <f t="shared" si="12"/>
        <v>1.6075037266158585E-2</v>
      </c>
      <c r="S90" s="5">
        <f t="shared" si="12"/>
        <v>1.2454245009972033E-2</v>
      </c>
      <c r="T90" s="5">
        <f t="shared" si="12"/>
        <v>7.6345806707324004E-3</v>
      </c>
      <c r="U90" s="5">
        <f t="shared" si="12"/>
        <v>2.2239494867540188E-3</v>
      </c>
      <c r="V90" s="5">
        <f t="shared" si="12"/>
        <v>3.0490087032724765E-3</v>
      </c>
      <c r="W90" s="5">
        <f t="shared" si="12"/>
        <v>4.0674275912164206E-3</v>
      </c>
      <c r="X90" s="5">
        <f t="shared" si="12"/>
        <v>4.4257228110921752E-3</v>
      </c>
      <c r="Y90" s="5">
        <f t="shared" si="12"/>
        <v>5.2996693542092148E-3</v>
      </c>
      <c r="Z90" s="5">
        <f t="shared" si="12"/>
        <v>5.3792187856159237E-3</v>
      </c>
      <c r="AA90" s="5">
        <f t="shared" si="12"/>
        <v>7.8740854266918358E-3</v>
      </c>
      <c r="AB90" s="5">
        <f t="shared" si="12"/>
        <v>9.1329335401665965E-3</v>
      </c>
    </row>
    <row r="91" spans="2:28" x14ac:dyDescent="0.2">
      <c r="B91" s="57">
        <v>13</v>
      </c>
      <c r="C91" s="5">
        <f t="shared" si="10"/>
        <v>6.2267296131338121E-2</v>
      </c>
      <c r="D91" s="5">
        <f t="shared" si="12"/>
        <v>0.11293944115777282</v>
      </c>
      <c r="E91" s="5">
        <f t="shared" si="11"/>
        <v>0.13945507632793536</v>
      </c>
      <c r="F91" s="5">
        <f t="shared" si="12"/>
        <v>0.16597071149809792</v>
      </c>
      <c r="G91" s="5">
        <f t="shared" si="12"/>
        <v>0.12411534371807598</v>
      </c>
      <c r="H91" s="5">
        <f t="shared" si="12"/>
        <v>5.6454077681256799E-2</v>
      </c>
      <c r="I91" s="5">
        <f t="shared" si="12"/>
        <v>0.12462428500738389</v>
      </c>
      <c r="J91" s="5">
        <f t="shared" si="12"/>
        <v>8.4168298736825034E-2</v>
      </c>
      <c r="K91" s="5">
        <f t="shared" si="12"/>
        <v>3.8316843564422207E-2</v>
      </c>
      <c r="L91" s="5">
        <f t="shared" si="12"/>
        <v>7.1492209546458504E-2</v>
      </c>
      <c r="M91" s="5">
        <f t="shared" si="12"/>
        <v>2.8614729017967626E-2</v>
      </c>
      <c r="N91" s="5">
        <f t="shared" si="12"/>
        <v>0</v>
      </c>
      <c r="O91" s="5">
        <f t="shared" si="12"/>
        <v>1.354235445719644E-2</v>
      </c>
      <c r="P91" s="5">
        <f t="shared" si="12"/>
        <v>9.1065420143164235E-3</v>
      </c>
      <c r="Q91" s="5">
        <f t="shared" si="12"/>
        <v>1.4400805895093875E-2</v>
      </c>
      <c r="R91" s="5">
        <f t="shared" si="12"/>
        <v>1.8274763505548394E-2</v>
      </c>
      <c r="S91" s="5">
        <f t="shared" si="12"/>
        <v>1.1405456682862256E-2</v>
      </c>
      <c r="T91" s="5">
        <f t="shared" si="12"/>
        <v>6.509478978723067E-3</v>
      </c>
      <c r="U91" s="5">
        <f t="shared" si="12"/>
        <v>2.0479045677526037E-3</v>
      </c>
      <c r="V91" s="5">
        <f t="shared" si="12"/>
        <v>2.7271007795947443E-3</v>
      </c>
      <c r="W91" s="5">
        <f t="shared" si="12"/>
        <v>3.7807132570966163E-3</v>
      </c>
      <c r="X91" s="5">
        <f t="shared" si="12"/>
        <v>3.9908285041121471E-3</v>
      </c>
      <c r="Y91" s="5">
        <f t="shared" si="12"/>
        <v>4.7654651823340402E-3</v>
      </c>
      <c r="Z91" s="5">
        <f t="shared" si="12"/>
        <v>4.891945041901726E-3</v>
      </c>
      <c r="AA91" s="5">
        <f t="shared" si="12"/>
        <v>7.1401035648918408E-3</v>
      </c>
      <c r="AB91" s="5">
        <f t="shared" si="12"/>
        <v>8.3025896560784147E-3</v>
      </c>
    </row>
    <row r="92" spans="2:28" x14ac:dyDescent="0.2">
      <c r="B92" s="8">
        <v>14</v>
      </c>
      <c r="C92" s="5">
        <f t="shared" si="10"/>
        <v>7.9644215981944086E-2</v>
      </c>
      <c r="D92" s="5">
        <f t="shared" si="12"/>
        <v>0.12484941858895614</v>
      </c>
      <c r="E92" s="5">
        <f t="shared" si="11"/>
        <v>0.14428453052640286</v>
      </c>
      <c r="F92" s="5">
        <f t="shared" si="12"/>
        <v>0.16371964246384957</v>
      </c>
      <c r="G92" s="5">
        <f t="shared" si="12"/>
        <v>0.14914700967802405</v>
      </c>
      <c r="H92" s="5">
        <f t="shared" si="12"/>
        <v>7.9351792782443628E-2</v>
      </c>
      <c r="I92" s="5">
        <f t="shared" si="12"/>
        <v>9.2976576667894092E-2</v>
      </c>
      <c r="J92" s="5">
        <f t="shared" si="12"/>
        <v>0.13335756423237213</v>
      </c>
      <c r="K92" s="5">
        <f t="shared" si="12"/>
        <v>9.0284062648669811E-2</v>
      </c>
      <c r="L92" s="5">
        <f t="shared" si="12"/>
        <v>5.3980228925230037E-2</v>
      </c>
      <c r="M92" s="5">
        <f t="shared" si="12"/>
        <v>4.3381153350769107E-2</v>
      </c>
      <c r="N92" s="5">
        <f t="shared" si="12"/>
        <v>0</v>
      </c>
      <c r="O92" s="5">
        <f t="shared" si="12"/>
        <v>8.8934865092036332E-3</v>
      </c>
      <c r="P92" s="5">
        <f t="shared" si="12"/>
        <v>2.3904672787580612E-3</v>
      </c>
      <c r="Q92" s="5">
        <f t="shared" si="12"/>
        <v>1.2706593436847533E-2</v>
      </c>
      <c r="R92" s="5">
        <f t="shared" si="12"/>
        <v>1.2932742639684542E-2</v>
      </c>
      <c r="S92" s="5">
        <f t="shared" si="12"/>
        <v>1.3654708282870969E-2</v>
      </c>
      <c r="T92" s="5">
        <f t="shared" si="12"/>
        <v>6.7898450875711266E-3</v>
      </c>
      <c r="U92" s="5">
        <f t="shared" si="12"/>
        <v>1.6589601697913786E-3</v>
      </c>
      <c r="V92" s="5">
        <f t="shared" si="12"/>
        <v>2.1849200934982061E-3</v>
      </c>
      <c r="W92" s="5">
        <f t="shared" si="12"/>
        <v>3.3727903535283638E-3</v>
      </c>
      <c r="X92" s="5">
        <f t="shared" si="12"/>
        <v>3.6890210830681507E-3</v>
      </c>
      <c r="Y92" s="5">
        <f t="shared" si="12"/>
        <v>4.2311885110903986E-3</v>
      </c>
      <c r="Z92" s="5">
        <f t="shared" si="12"/>
        <v>4.2062215120172814E-3</v>
      </c>
      <c r="AA92" s="5">
        <f t="shared" si="12"/>
        <v>6.2272890279153354E-3</v>
      </c>
      <c r="AB92" s="5">
        <f t="shared" si="12"/>
        <v>7.362343640169868E-3</v>
      </c>
    </row>
    <row r="93" spans="2:28" x14ac:dyDescent="0.2">
      <c r="B93" s="57">
        <v>15</v>
      </c>
      <c r="C93" s="5">
        <f t="shared" si="10"/>
        <v>6.4132982906808925E-2</v>
      </c>
      <c r="D93" s="5">
        <f t="shared" si="12"/>
        <v>0.16767567263981897</v>
      </c>
      <c r="E93" s="5">
        <f t="shared" si="11"/>
        <v>0.15155735940718923</v>
      </c>
      <c r="F93" s="5">
        <f t="shared" si="12"/>
        <v>0.13543904617455946</v>
      </c>
      <c r="G93" s="5">
        <f t="shared" si="12"/>
        <v>0.18007806566238699</v>
      </c>
      <c r="H93" s="5">
        <f t="shared" si="12"/>
        <v>6.5047389908948108E-2</v>
      </c>
      <c r="I93" s="5">
        <f t="shared" si="12"/>
        <v>0.12801406555958469</v>
      </c>
      <c r="J93" s="5">
        <f t="shared" si="12"/>
        <v>0.10239277367699226</v>
      </c>
      <c r="K93" s="5">
        <f t="shared" si="12"/>
        <v>7.8436832708346629E-2</v>
      </c>
      <c r="L93" s="5">
        <f t="shared" si="12"/>
        <v>4.5298094202990233E-2</v>
      </c>
      <c r="M93" s="5">
        <f t="shared" si="12"/>
        <v>6.7727719006812986E-2</v>
      </c>
      <c r="N93" s="5">
        <f t="shared" si="12"/>
        <v>2.3417158649037852E-2</v>
      </c>
      <c r="O93" s="5">
        <f t="shared" si="12"/>
        <v>2.0198765970055706E-2</v>
      </c>
      <c r="P93" s="5">
        <f t="shared" si="12"/>
        <v>6.7100835894963106E-3</v>
      </c>
      <c r="Q93" s="5">
        <f t="shared" si="12"/>
        <v>1.4400805895093875E-2</v>
      </c>
      <c r="R93" s="5">
        <f t="shared" si="12"/>
        <v>8.5500109034103884E-3</v>
      </c>
      <c r="S93" s="5">
        <f t="shared" si="12"/>
        <v>1.3721514460641092E-2</v>
      </c>
      <c r="T93" s="5">
        <f t="shared" si="12"/>
        <v>1.1563299058738593E-2</v>
      </c>
      <c r="U93" s="5">
        <f t="shared" si="12"/>
        <v>3.0864144389664274E-3</v>
      </c>
      <c r="V93" s="5">
        <f t="shared" si="12"/>
        <v>2.462735619453405E-3</v>
      </c>
      <c r="W93" s="5">
        <f t="shared" si="12"/>
        <v>3.906359758553489E-3</v>
      </c>
      <c r="X93" s="5">
        <f t="shared" si="12"/>
        <v>4.9199205712594524E-3</v>
      </c>
      <c r="Y93" s="5">
        <f t="shared" si="12"/>
        <v>5.9012057529387076E-3</v>
      </c>
      <c r="Z93" s="5">
        <f t="shared" si="12"/>
        <v>5.680425135111261E-3</v>
      </c>
      <c r="AA93" s="5">
        <f t="shared" si="12"/>
        <v>7.874821487504742E-3</v>
      </c>
      <c r="AB93" s="5">
        <f t="shared" si="12"/>
        <v>9.5496181776003712E-3</v>
      </c>
    </row>
    <row r="94" spans="2:28" x14ac:dyDescent="0.2">
      <c r="B94" s="8">
        <v>16</v>
      </c>
      <c r="C94" s="5">
        <f t="shared" si="10"/>
        <v>0.14635475586425625</v>
      </c>
      <c r="D94" s="5">
        <f t="shared" si="12"/>
        <v>0.19162934015979313</v>
      </c>
      <c r="E94" s="5">
        <f t="shared" si="11"/>
        <v>0.1584552289356303</v>
      </c>
      <c r="F94" s="5">
        <f t="shared" si="12"/>
        <v>0.12528111771146747</v>
      </c>
      <c r="G94" s="5">
        <f t="shared" si="12"/>
        <v>0.15435262771061742</v>
      </c>
      <c r="H94" s="5">
        <f t="shared" si="12"/>
        <v>0.10421028874301763</v>
      </c>
      <c r="I94" s="5">
        <f t="shared" si="12"/>
        <v>0.15409100484024085</v>
      </c>
      <c r="J94" s="5">
        <f t="shared" si="12"/>
        <v>7.1089840010026065E-2</v>
      </c>
      <c r="K94" s="5">
        <f t="shared" si="12"/>
        <v>5.952795339472735E-2</v>
      </c>
      <c r="L94" s="5">
        <f t="shared" si="12"/>
        <v>6.6437204831052352E-2</v>
      </c>
      <c r="M94" s="5">
        <f t="shared" si="12"/>
        <v>5.7465943399720117E-2</v>
      </c>
      <c r="N94" s="5">
        <f t="shared" si="12"/>
        <v>1.0190800523192402E-2</v>
      </c>
      <c r="O94" s="5">
        <f t="shared" si="12"/>
        <v>1.6551766558795648E-2</v>
      </c>
      <c r="P94" s="5">
        <f t="shared" si="12"/>
        <v>0</v>
      </c>
      <c r="Q94" s="5">
        <f t="shared" si="12"/>
        <v>1.0286289925067053E-2</v>
      </c>
      <c r="R94" s="5">
        <f t="shared" si="12"/>
        <v>4.5791627104922617E-3</v>
      </c>
      <c r="S94" s="5">
        <f t="shared" si="12"/>
        <v>4.522390803184049E-3</v>
      </c>
      <c r="T94" s="5">
        <f t="shared" si="12"/>
        <v>6.0583707477359638E-3</v>
      </c>
      <c r="U94" s="5">
        <f t="shared" si="12"/>
        <v>1.9548557541978775E-3</v>
      </c>
      <c r="V94" s="5">
        <f t="shared" si="12"/>
        <v>1.3527199001608162E-3</v>
      </c>
      <c r="W94" s="5">
        <f t="shared" si="12"/>
        <v>1.9435934515135134E-3</v>
      </c>
      <c r="X94" s="5">
        <f t="shared" si="12"/>
        <v>2.3880329626443765E-3</v>
      </c>
      <c r="Y94" s="5">
        <f t="shared" si="12"/>
        <v>3.1398288780985486E-3</v>
      </c>
      <c r="Z94" s="5">
        <f t="shared" si="12"/>
        <v>3.0291025208095961E-3</v>
      </c>
      <c r="AA94" s="5">
        <f t="shared" si="12"/>
        <v>4.0903393734068984E-3</v>
      </c>
      <c r="AB94" s="5">
        <f t="shared" si="12"/>
        <v>4.8972622830669495E-3</v>
      </c>
    </row>
    <row r="95" spans="2:28" x14ac:dyDescent="0.2">
      <c r="B95" s="57">
        <v>17</v>
      </c>
      <c r="C95" s="5">
        <f t="shared" si="10"/>
        <v>0.40770253419328534</v>
      </c>
      <c r="D95" s="5">
        <f t="shared" si="12"/>
        <v>0.24796481747528784</v>
      </c>
      <c r="E95" s="5">
        <f t="shared" si="11"/>
        <v>0.16574278130813308</v>
      </c>
      <c r="F95" s="5">
        <f t="shared" si="12"/>
        <v>8.352074514097832E-2</v>
      </c>
      <c r="G95" s="5">
        <f t="shared" si="12"/>
        <v>0.23641017851062088</v>
      </c>
      <c r="H95" s="5">
        <f t="shared" si="12"/>
        <v>6.7894582059844819E-2</v>
      </c>
      <c r="I95" s="5">
        <f t="shared" si="12"/>
        <v>5.1618574822413187E-2</v>
      </c>
      <c r="J95" s="5">
        <f t="shared" si="12"/>
        <v>4.7393226673350712E-2</v>
      </c>
      <c r="K95" s="5">
        <f t="shared" si="12"/>
        <v>7.2077089515777973E-2</v>
      </c>
      <c r="L95" s="5">
        <f t="shared" si="12"/>
        <v>7.665831326659886E-2</v>
      </c>
      <c r="M95" s="5">
        <f t="shared" si="12"/>
        <v>5.0168680745787397E-2</v>
      </c>
      <c r="N95" s="5">
        <f t="shared" si="12"/>
        <v>0</v>
      </c>
      <c r="O95" s="5">
        <f t="shared" si="12"/>
        <v>1.0640421359225775E-2</v>
      </c>
      <c r="P95" s="5">
        <f t="shared" si="12"/>
        <v>2.9421135738560752E-2</v>
      </c>
      <c r="Q95" s="5">
        <f t="shared" si="12"/>
        <v>6.9681318847228417E-3</v>
      </c>
      <c r="R95" s="5">
        <f t="shared" si="12"/>
        <v>7.7806901390923477E-3</v>
      </c>
      <c r="S95" s="5">
        <f t="shared" si="12"/>
        <v>4.0022010836663555E-3</v>
      </c>
      <c r="T95" s="5">
        <f t="shared" si="12"/>
        <v>4.5149510331002939E-3</v>
      </c>
      <c r="U95" s="5">
        <f t="shared" si="12"/>
        <v>2.5949965930698949E-3</v>
      </c>
      <c r="V95" s="5">
        <f t="shared" si="12"/>
        <v>1.5173326160571618E-3</v>
      </c>
      <c r="W95" s="5">
        <f t="shared" si="12"/>
        <v>2.1513040559189901E-3</v>
      </c>
      <c r="X95" s="5">
        <f t="shared" si="12"/>
        <v>2.3780564568453414E-3</v>
      </c>
      <c r="Y95" s="5">
        <f t="shared" si="12"/>
        <v>3.2486442779198826E-3</v>
      </c>
      <c r="Z95" s="5">
        <f t="shared" si="12"/>
        <v>3.3223726494518795E-3</v>
      </c>
      <c r="AA95" s="5">
        <f t="shared" si="12"/>
        <v>4.3811847903328675E-3</v>
      </c>
      <c r="AB95" s="5">
        <f t="shared" si="12"/>
        <v>5.1937287480246525E-3</v>
      </c>
    </row>
    <row r="96" spans="2:28" x14ac:dyDescent="0.2">
      <c r="B96" s="8">
        <v>18</v>
      </c>
      <c r="C96" s="5">
        <f t="shared" ref="C96:C98" si="13">C21/C71</f>
        <v>0.38052236524706623</v>
      </c>
      <c r="D96" s="5">
        <f t="shared" si="12"/>
        <v>0.21128363145823342</v>
      </c>
      <c r="E96" s="5">
        <f t="shared" si="11"/>
        <v>0.19960265401271732</v>
      </c>
      <c r="F96" s="5">
        <f t="shared" si="12"/>
        <v>0.18792167656720121</v>
      </c>
      <c r="G96" s="5">
        <f t="shared" si="12"/>
        <v>9.6041635019939731E-2</v>
      </c>
      <c r="H96" s="5">
        <f t="shared" si="12"/>
        <v>0.14936808053165856</v>
      </c>
      <c r="I96" s="5">
        <f t="shared" si="12"/>
        <v>9.2763815622887463E-2</v>
      </c>
      <c r="J96" s="5">
        <f t="shared" si="12"/>
        <v>9.2927895437942568E-2</v>
      </c>
      <c r="K96" s="5">
        <f t="shared" si="12"/>
        <v>9.8046040885433297E-2</v>
      </c>
      <c r="L96" s="5">
        <f t="shared" si="12"/>
        <v>6.2940509839944342E-2</v>
      </c>
      <c r="M96" s="5">
        <f t="shared" si="12"/>
        <v>1.7559038261025593E-2</v>
      </c>
      <c r="N96" s="5">
        <f t="shared" si="12"/>
        <v>8.4662035115752238E-2</v>
      </c>
      <c r="O96" s="5">
        <f t="shared" si="12"/>
        <v>2.9793179805832168E-2</v>
      </c>
      <c r="P96" s="5">
        <f t="shared" si="12"/>
        <v>1.5936448525053739E-2</v>
      </c>
      <c r="Q96" s="5">
        <f t="shared" si="12"/>
        <v>2.1601208842640812E-2</v>
      </c>
      <c r="R96" s="5">
        <f t="shared" si="12"/>
        <v>7.4148823040037755E-3</v>
      </c>
      <c r="S96" s="5">
        <f t="shared" si="12"/>
        <v>8.0498643110721996E-3</v>
      </c>
      <c r="T96" s="5">
        <f t="shared" si="12"/>
        <v>3.5814700177894563E-3</v>
      </c>
      <c r="U96" s="5">
        <f t="shared" si="12"/>
        <v>1.6251098603534831E-3</v>
      </c>
      <c r="V96" s="5">
        <f t="shared" si="12"/>
        <v>1.8014815656575813E-3</v>
      </c>
      <c r="W96" s="5">
        <f t="shared" si="12"/>
        <v>2.3052833724547454E-3</v>
      </c>
      <c r="X96" s="5">
        <f t="shared" si="12"/>
        <v>2.609140263178275E-3</v>
      </c>
      <c r="Y96" s="5">
        <f t="shared" si="12"/>
        <v>3.074728502070198E-3</v>
      </c>
      <c r="Z96" s="5">
        <f t="shared" si="12"/>
        <v>3.2806087714280854E-3</v>
      </c>
      <c r="AA96" s="5">
        <f t="shared" si="12"/>
        <v>4.6233684084896537E-3</v>
      </c>
      <c r="AB96" s="5">
        <f t="shared" si="12"/>
        <v>5.3564189422353583E-3</v>
      </c>
    </row>
    <row r="97" spans="2:28" x14ac:dyDescent="0.2">
      <c r="B97" s="57">
        <v>19</v>
      </c>
      <c r="C97" s="5">
        <f t="shared" si="13"/>
        <v>0.81540506838657068</v>
      </c>
      <c r="D97" s="5">
        <f t="shared" si="12"/>
        <v>0.22889060074641956</v>
      </c>
      <c r="E97" s="5">
        <f t="shared" si="11"/>
        <v>0.21884623179943269</v>
      </c>
      <c r="F97" s="5">
        <f t="shared" si="12"/>
        <v>0.20880186285244581</v>
      </c>
      <c r="G97" s="5">
        <f t="shared" si="12"/>
        <v>0.15715903912353776</v>
      </c>
      <c r="H97" s="5">
        <f t="shared" si="12"/>
        <v>8.9620848318995153E-2</v>
      </c>
      <c r="I97" s="5">
        <f t="shared" si="12"/>
        <v>6.6673992478950367E-2</v>
      </c>
      <c r="J97" s="5">
        <f t="shared" si="12"/>
        <v>0</v>
      </c>
      <c r="K97" s="5">
        <f t="shared" si="12"/>
        <v>0.16667826950523656</v>
      </c>
      <c r="L97" s="5">
        <f t="shared" si="12"/>
        <v>8.5419263354210156E-2</v>
      </c>
      <c r="M97" s="5">
        <f t="shared" si="12"/>
        <v>6.3212537739692126E-2</v>
      </c>
      <c r="N97" s="5">
        <f t="shared" si="12"/>
        <v>0</v>
      </c>
      <c r="O97" s="5">
        <f t="shared" si="12"/>
        <v>4.2561685436903099E-2</v>
      </c>
      <c r="P97" s="5">
        <f t="shared" si="12"/>
        <v>3.1872897050107478E-2</v>
      </c>
      <c r="Q97" s="5">
        <f t="shared" si="12"/>
        <v>0</v>
      </c>
      <c r="R97" s="5">
        <f t="shared" si="12"/>
        <v>1.4305850425816231E-2</v>
      </c>
      <c r="S97" s="5">
        <f t="shared" si="12"/>
        <v>4.783081948354289E-3</v>
      </c>
      <c r="T97" s="5">
        <f t="shared" si="12"/>
        <v>3.9431401555983566E-3</v>
      </c>
      <c r="U97" s="5">
        <f t="shared" si="12"/>
        <v>7.9520866084961585E-4</v>
      </c>
      <c r="V97" s="5">
        <f t="shared" si="12"/>
        <v>1.4116784093116356E-3</v>
      </c>
      <c r="W97" s="5">
        <f t="shared" si="12"/>
        <v>1.8766342025880393E-3</v>
      </c>
      <c r="X97" s="5">
        <f t="shared" si="12"/>
        <v>1.8883619252366623E-3</v>
      </c>
      <c r="Y97" s="5">
        <f t="shared" si="12"/>
        <v>2.3083105539670737E-3</v>
      </c>
      <c r="Z97" s="5">
        <f t="shared" si="12"/>
        <v>2.2698176859919563E-3</v>
      </c>
      <c r="AA97" s="5">
        <f t="shared" si="12"/>
        <v>3.4685886488892764E-3</v>
      </c>
      <c r="AB97" s="5">
        <f t="shared" si="12"/>
        <v>3.9877076014322313E-3</v>
      </c>
    </row>
    <row r="98" spans="2:28" x14ac:dyDescent="0.2">
      <c r="B98" s="8">
        <v>20</v>
      </c>
      <c r="C98" s="5">
        <f t="shared" si="13"/>
        <v>1.4269588696764985</v>
      </c>
      <c r="D98" s="5">
        <f t="shared" si="12"/>
        <v>0.22889060074641956</v>
      </c>
      <c r="E98" s="5">
        <f t="shared" si="11"/>
        <v>0.11444530037320978</v>
      </c>
      <c r="F98" s="5">
        <f t="shared" si="12"/>
        <v>0</v>
      </c>
      <c r="G98" s="5">
        <v>0</v>
      </c>
      <c r="H98" s="5">
        <f t="shared" si="12"/>
        <v>0.11202606039874397</v>
      </c>
      <c r="I98" s="5">
        <f t="shared" si="12"/>
        <v>0.16001758194948087</v>
      </c>
      <c r="J98" s="5">
        <f t="shared" si="12"/>
        <v>0.19747177780562797</v>
      </c>
      <c r="K98" s="5">
        <f t="shared" si="12"/>
        <v>0.16667826950523656</v>
      </c>
      <c r="L98" s="5">
        <f t="shared" si="12"/>
        <v>0</v>
      </c>
      <c r="M98" s="5">
        <f t="shared" si="12"/>
        <v>7.023615304410237E-2</v>
      </c>
      <c r="N98" s="5">
        <f t="shared" si="12"/>
        <v>0.1222896062783088</v>
      </c>
      <c r="O98" s="5">
        <f t="shared" si="12"/>
        <v>3.3103533117591295E-2</v>
      </c>
      <c r="P98" s="5">
        <f t="shared" si="12"/>
        <v>0</v>
      </c>
      <c r="Q98" s="5">
        <f t="shared" si="12"/>
        <v>0</v>
      </c>
      <c r="R98" s="5">
        <f t="shared" si="12"/>
        <v>5.4997589215200288E-2</v>
      </c>
      <c r="S98" s="5">
        <f t="shared" si="12"/>
        <v>2.2065767641762834E-2</v>
      </c>
      <c r="T98" s="5">
        <f t="shared" si="12"/>
        <v>6.0636228127818161E-3</v>
      </c>
      <c r="U98" s="5">
        <f t="shared" si="12"/>
        <v>1.2228440244518044E-3</v>
      </c>
      <c r="V98" s="5">
        <f t="shared" si="12"/>
        <v>2.9093697434829659E-3</v>
      </c>
      <c r="W98" s="5">
        <f t="shared" si="12"/>
        <v>3.8699536921078135E-3</v>
      </c>
      <c r="X98" s="5">
        <f t="shared" si="12"/>
        <v>3.7532457850945485E-3</v>
      </c>
      <c r="Y98" s="5">
        <f t="shared" si="12"/>
        <v>4.1016612325561986E-3</v>
      </c>
      <c r="Z98" s="5">
        <f t="shared" si="12"/>
        <v>4.1414756024349599E-3</v>
      </c>
      <c r="AA98" s="5">
        <f t="shared" si="12"/>
        <v>6.6880105264091041E-3</v>
      </c>
      <c r="AB98" s="5">
        <f t="shared" si="12"/>
        <v>7.6044950152832384E-3</v>
      </c>
    </row>
  </sheetData>
  <conditionalFormatting sqref="C79:AB98">
    <cfRule type="cellIs" dxfId="0" priority="1" operator="greaterThan">
      <formula>1</formula>
    </cfRule>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AA4F1-6B54-FA48-B783-7B41C2B05050}">
  <sheetPr>
    <tabColor theme="9" tint="0.59999389629810485"/>
  </sheetPr>
  <dimension ref="B2:Q60"/>
  <sheetViews>
    <sheetView workbookViewId="0">
      <selection activeCell="A15" sqref="A15:XFD15"/>
    </sheetView>
  </sheetViews>
  <sheetFormatPr baseColWidth="10" defaultRowHeight="16" x14ac:dyDescent="0.2"/>
  <cols>
    <col min="9" max="11" width="12.6640625" bestFit="1" customWidth="1"/>
  </cols>
  <sheetData>
    <row r="2" spans="2:14" x14ac:dyDescent="0.2">
      <c r="H2" t="s">
        <v>205</v>
      </c>
    </row>
    <row r="3" spans="2:14" x14ac:dyDescent="0.2">
      <c r="B3" t="s">
        <v>206</v>
      </c>
      <c r="C3" t="s">
        <v>55</v>
      </c>
      <c r="D3" t="s">
        <v>207</v>
      </c>
      <c r="E3" t="s">
        <v>91</v>
      </c>
      <c r="F3" t="s">
        <v>92</v>
      </c>
      <c r="G3" t="s">
        <v>72</v>
      </c>
      <c r="H3" t="s">
        <v>208</v>
      </c>
      <c r="I3" t="s">
        <v>209</v>
      </c>
      <c r="J3" t="s">
        <v>210</v>
      </c>
      <c r="K3" t="s">
        <v>211</v>
      </c>
    </row>
    <row r="4" spans="2:14" x14ac:dyDescent="0.2">
      <c r="B4">
        <v>1995</v>
      </c>
      <c r="C4">
        <v>68</v>
      </c>
      <c r="D4" s="5">
        <v>0.161180368322037</v>
      </c>
      <c r="E4" s="5">
        <v>0.13048810166380301</v>
      </c>
      <c r="F4" s="5">
        <v>0.19187263498027199</v>
      </c>
      <c r="G4" s="5">
        <v>1.56593197235891E-2</v>
      </c>
      <c r="H4" s="60">
        <v>5.6071660000000003</v>
      </c>
      <c r="I4" s="60">
        <v>4.0985949140000004</v>
      </c>
      <c r="J4" s="60">
        <v>17.672813999999999</v>
      </c>
      <c r="K4" s="60">
        <v>0.89558104999999999</v>
      </c>
    </row>
    <row r="5" spans="2:14" x14ac:dyDescent="0.2">
      <c r="B5">
        <v>1996</v>
      </c>
      <c r="C5">
        <v>68</v>
      </c>
      <c r="D5" s="5">
        <v>0.14629774741947901</v>
      </c>
      <c r="E5" s="5">
        <v>0.127738335178362</v>
      </c>
      <c r="F5" s="5">
        <v>0.164857159660595</v>
      </c>
      <c r="G5" s="5">
        <v>9.4690878781205808E-3</v>
      </c>
      <c r="H5" s="60">
        <v>3.54372</v>
      </c>
      <c r="I5" s="60">
        <v>1.886772095</v>
      </c>
      <c r="J5" s="60">
        <v>6.1373220000000002</v>
      </c>
      <c r="K5" s="60">
        <v>-1.57827184</v>
      </c>
    </row>
    <row r="6" spans="2:14" x14ac:dyDescent="0.2">
      <c r="B6">
        <v>1997</v>
      </c>
      <c r="C6">
        <v>68</v>
      </c>
      <c r="D6" s="5">
        <v>0.32402767076368899</v>
      </c>
      <c r="E6" s="5">
        <v>0.30162101224791399</v>
      </c>
      <c r="F6" s="5">
        <v>0.34643432927946399</v>
      </c>
      <c r="G6" s="5">
        <v>1.14319686304972E-2</v>
      </c>
      <c r="H6" s="60">
        <v>2.2617500000000001</v>
      </c>
      <c r="I6" s="60">
        <v>0.51261917800000001</v>
      </c>
      <c r="J6" s="60">
        <v>21.387284000000001</v>
      </c>
      <c r="K6" s="60">
        <v>1.6921704500000001</v>
      </c>
    </row>
    <row r="7" spans="2:14" x14ac:dyDescent="0.2">
      <c r="B7">
        <v>1998</v>
      </c>
      <c r="C7">
        <v>68</v>
      </c>
      <c r="D7" s="5">
        <v>0.32960383861716802</v>
      </c>
      <c r="E7" s="5">
        <v>0.292116254114059</v>
      </c>
      <c r="F7" s="5">
        <v>0.36709142312027698</v>
      </c>
      <c r="G7" s="5">
        <v>1.9126318624035299E-2</v>
      </c>
      <c r="H7" s="60">
        <v>4.2521709999999997</v>
      </c>
      <c r="I7" s="60">
        <v>2.6461653799999998</v>
      </c>
      <c r="J7" s="60">
        <v>19.381209999999999</v>
      </c>
      <c r="K7" s="60">
        <v>1.2619564299999999</v>
      </c>
    </row>
    <row r="8" spans="2:14" x14ac:dyDescent="0.2">
      <c r="B8">
        <v>1999</v>
      </c>
      <c r="C8">
        <v>68</v>
      </c>
      <c r="D8" s="5">
        <v>0.263061127985801</v>
      </c>
      <c r="E8" s="5">
        <v>0.23768995613322799</v>
      </c>
      <c r="F8" s="5">
        <v>0.28843229983837398</v>
      </c>
      <c r="G8" s="5">
        <v>1.2944475434986299E-2</v>
      </c>
      <c r="H8" s="60">
        <v>3.0855190000000001</v>
      </c>
      <c r="I8" s="60">
        <v>1.395622637</v>
      </c>
      <c r="J8" s="60">
        <v>16.089687000000001</v>
      </c>
      <c r="K8" s="60">
        <v>0.55607015000000004</v>
      </c>
    </row>
    <row r="9" spans="2:14" x14ac:dyDescent="0.2">
      <c r="B9" s="61">
        <v>2000</v>
      </c>
      <c r="C9" s="61">
        <v>68</v>
      </c>
      <c r="D9" s="62">
        <v>0.33932720726465199</v>
      </c>
      <c r="E9" s="62">
        <v>0.32114957782459702</v>
      </c>
      <c r="F9" s="62">
        <v>0.35750483670470601</v>
      </c>
      <c r="G9" s="62">
        <v>9.2743007347215606E-3</v>
      </c>
      <c r="H9" s="63">
        <v>1.941951</v>
      </c>
      <c r="I9" s="63">
        <v>0.16982408500000001</v>
      </c>
      <c r="J9" s="63">
        <v>10.193027000000001</v>
      </c>
      <c r="K9" s="63">
        <v>-0.70850245999999995</v>
      </c>
    </row>
    <row r="10" spans="2:14" x14ac:dyDescent="0.2">
      <c r="B10">
        <v>2001</v>
      </c>
      <c r="C10">
        <v>68</v>
      </c>
      <c r="D10" s="5">
        <v>0.15128780656652099</v>
      </c>
      <c r="E10" s="5">
        <v>0.138578728025645</v>
      </c>
      <c r="F10" s="5">
        <v>0.16399688510739699</v>
      </c>
      <c r="G10" s="5">
        <v>6.4842237453450104E-3</v>
      </c>
      <c r="H10" s="60">
        <v>2.1535060000000001</v>
      </c>
      <c r="I10" s="60">
        <v>0.396591996</v>
      </c>
      <c r="J10" s="60">
        <v>13.207305</v>
      </c>
      <c r="K10" s="60">
        <v>-6.2073299999999998E-2</v>
      </c>
    </row>
    <row r="11" spans="2:14" x14ac:dyDescent="0.2">
      <c r="B11">
        <v>2002</v>
      </c>
      <c r="C11">
        <v>68</v>
      </c>
      <c r="D11" s="5">
        <v>0.15497274084655899</v>
      </c>
      <c r="E11" s="5">
        <v>0.14014961011649399</v>
      </c>
      <c r="F11" s="5">
        <v>0.16979587157662401</v>
      </c>
      <c r="G11" s="5">
        <v>7.5628218010534596E-3</v>
      </c>
      <c r="H11" s="60">
        <v>2.6520459999999999</v>
      </c>
      <c r="I11" s="60">
        <v>0.93098028700000002</v>
      </c>
      <c r="J11" s="60">
        <v>12.314399</v>
      </c>
      <c r="K11" s="60">
        <v>-0.25356204999999998</v>
      </c>
    </row>
    <row r="12" spans="2:14" x14ac:dyDescent="0.2">
      <c r="B12">
        <v>2003</v>
      </c>
      <c r="C12">
        <v>68</v>
      </c>
      <c r="D12" s="5">
        <v>0.15270189903676801</v>
      </c>
      <c r="E12" s="5">
        <v>0.14172546602597599</v>
      </c>
      <c r="F12" s="5">
        <v>0.16367833204755999</v>
      </c>
      <c r="G12" s="5">
        <v>5.6002209238736004E-3</v>
      </c>
      <c r="H12" s="60">
        <v>1.407475</v>
      </c>
      <c r="I12" s="60">
        <v>-0.40308485100000002</v>
      </c>
      <c r="J12" s="60">
        <v>6.0410959999999996</v>
      </c>
      <c r="K12" s="60">
        <v>-1.5989081000000001</v>
      </c>
    </row>
    <row r="13" spans="2:14" x14ac:dyDescent="0.2">
      <c r="B13">
        <v>2004</v>
      </c>
      <c r="C13">
        <v>68</v>
      </c>
      <c r="D13" s="5">
        <v>0.15924471355518699</v>
      </c>
      <c r="E13" s="5">
        <v>0.14461754311660399</v>
      </c>
      <c r="F13" s="5">
        <v>0.17387188399377099</v>
      </c>
      <c r="G13" s="5">
        <v>7.4628420605017199E-3</v>
      </c>
      <c r="H13" s="60">
        <v>2.3571970000000002</v>
      </c>
      <c r="I13" s="60">
        <v>0.61492980799999997</v>
      </c>
      <c r="J13" s="60">
        <v>17.921309999999998</v>
      </c>
      <c r="K13" s="60">
        <v>0.94887242000000005</v>
      </c>
    </row>
    <row r="14" spans="2:14" x14ac:dyDescent="0.2">
      <c r="B14">
        <v>2005</v>
      </c>
      <c r="C14">
        <v>68</v>
      </c>
      <c r="D14" s="5">
        <v>0.25297031834525802</v>
      </c>
      <c r="E14" s="5">
        <v>0.22973863381517701</v>
      </c>
      <c r="F14" s="5">
        <v>0.27620200287533903</v>
      </c>
      <c r="G14" s="5">
        <v>1.1852900270449499E-2</v>
      </c>
      <c r="H14" s="60">
        <v>2.4433880000000001</v>
      </c>
      <c r="I14" s="60">
        <v>0.70731784399999997</v>
      </c>
      <c r="J14" s="60">
        <v>19.414572</v>
      </c>
      <c r="K14" s="60">
        <v>1.2691109899999999</v>
      </c>
    </row>
    <row r="15" spans="2:14" x14ac:dyDescent="0.2">
      <c r="B15">
        <v>2006</v>
      </c>
      <c r="C15">
        <v>68</v>
      </c>
      <c r="D15" s="5">
        <v>0.22613448276657799</v>
      </c>
      <c r="E15" s="5">
        <v>0.208725502497627</v>
      </c>
      <c r="F15" s="5">
        <v>0.24354346303552901</v>
      </c>
      <c r="G15" s="5">
        <v>8.8821327902812303E-3</v>
      </c>
      <c r="H15" s="60">
        <v>1.7772060000000001</v>
      </c>
      <c r="I15" s="60">
        <v>-6.7671069999999996E-3</v>
      </c>
      <c r="J15" s="60">
        <v>11.772380999999999</v>
      </c>
      <c r="K15" s="60">
        <v>-0.36980104000000003</v>
      </c>
    </row>
    <row r="16" spans="2:14" x14ac:dyDescent="0.2">
      <c r="B16" s="64">
        <v>2007</v>
      </c>
      <c r="C16" s="64">
        <v>68</v>
      </c>
      <c r="D16" s="65">
        <v>7.0621539291074897E-2</v>
      </c>
      <c r="E16" s="65">
        <v>5.4876911635915501E-2</v>
      </c>
      <c r="F16" s="65">
        <v>8.6366166946234196E-2</v>
      </c>
      <c r="G16" s="65">
        <v>8.0329732934486704E-3</v>
      </c>
      <c r="H16" s="66">
        <v>4.0385260000000001</v>
      </c>
      <c r="I16" s="66">
        <v>2.4171581149999999</v>
      </c>
      <c r="J16" s="66">
        <v>11.857436</v>
      </c>
      <c r="K16" s="66">
        <v>-0.3515605</v>
      </c>
      <c r="N16" t="s">
        <v>212</v>
      </c>
    </row>
    <row r="17" spans="2:16" x14ac:dyDescent="0.2">
      <c r="B17">
        <v>2008</v>
      </c>
      <c r="C17">
        <v>68</v>
      </c>
      <c r="D17" s="5">
        <v>0.20364531392834401</v>
      </c>
      <c r="E17" s="5">
        <v>0.17790855308093301</v>
      </c>
      <c r="F17" s="5">
        <v>0.22938207477575601</v>
      </c>
      <c r="G17" s="5">
        <v>1.31310004323528E-2</v>
      </c>
      <c r="H17" s="60">
        <v>2.5409760000000001</v>
      </c>
      <c r="I17" s="60">
        <v>0.81192365700000002</v>
      </c>
      <c r="J17" s="60">
        <v>10.112634</v>
      </c>
      <c r="K17" s="60">
        <v>-0.72574320999999997</v>
      </c>
      <c r="N17" t="s">
        <v>82</v>
      </c>
      <c r="O17" t="s">
        <v>91</v>
      </c>
      <c r="P17" t="s">
        <v>92</v>
      </c>
    </row>
    <row r="18" spans="2:16" x14ac:dyDescent="0.2">
      <c r="B18">
        <v>2009</v>
      </c>
      <c r="C18">
        <v>68</v>
      </c>
      <c r="D18" s="5">
        <v>0.23332760491361801</v>
      </c>
      <c r="E18" s="5">
        <v>0.2110792053218</v>
      </c>
      <c r="F18" s="5">
        <v>0.25557600450543599</v>
      </c>
      <c r="G18" s="5">
        <v>1.13512242815398E-2</v>
      </c>
      <c r="H18" s="60">
        <v>3.1391460000000002</v>
      </c>
      <c r="I18" s="60">
        <v>1.4531065940000001</v>
      </c>
      <c r="J18" s="60">
        <v>18.973513000000001</v>
      </c>
      <c r="K18" s="60">
        <v>1.17452333</v>
      </c>
      <c r="N18" s="3">
        <v>2.175218E-3</v>
      </c>
      <c r="O18" s="3">
        <v>5.7505749999999997E-4</v>
      </c>
      <c r="P18" s="3">
        <v>6.2506250000000001E-3</v>
      </c>
    </row>
    <row r="19" spans="2:16" x14ac:dyDescent="0.2">
      <c r="B19">
        <v>2010</v>
      </c>
      <c r="C19">
        <v>68</v>
      </c>
      <c r="D19" s="5">
        <v>0.19287904590217</v>
      </c>
      <c r="E19" s="5">
        <v>0.169641959237259</v>
      </c>
      <c r="F19" s="5">
        <v>0.21611613256708101</v>
      </c>
      <c r="G19" s="5">
        <v>1.18556564616892E-2</v>
      </c>
      <c r="H19" s="60">
        <v>3.6416759999999999</v>
      </c>
      <c r="I19" s="60">
        <v>1.9917712299999999</v>
      </c>
      <c r="J19" s="60">
        <v>15.313998</v>
      </c>
      <c r="K19" s="60">
        <v>0.38971934000000003</v>
      </c>
    </row>
    <row r="20" spans="2:16" x14ac:dyDescent="0.2">
      <c r="B20">
        <v>2011</v>
      </c>
      <c r="C20">
        <v>68</v>
      </c>
      <c r="D20" s="5">
        <v>0.123513526906585</v>
      </c>
      <c r="E20" s="5">
        <v>0.111679234127024</v>
      </c>
      <c r="F20" s="5">
        <v>0.13534781968614701</v>
      </c>
      <c r="G20" s="5">
        <v>6.0379044793681998E-3</v>
      </c>
      <c r="H20" s="60">
        <v>2.305053</v>
      </c>
      <c r="I20" s="60">
        <v>0.55903557999999998</v>
      </c>
      <c r="J20" s="60">
        <v>10.080812999999999</v>
      </c>
      <c r="K20" s="60">
        <v>-0.73256754999999996</v>
      </c>
    </row>
    <row r="21" spans="2:16" x14ac:dyDescent="0.2">
      <c r="B21">
        <v>2012</v>
      </c>
      <c r="C21">
        <v>68</v>
      </c>
      <c r="D21" s="5">
        <v>0.22090233567617301</v>
      </c>
      <c r="E21" s="5">
        <v>0.204154393946818</v>
      </c>
      <c r="F21" s="5">
        <v>0.23765027740552799</v>
      </c>
      <c r="G21" s="5">
        <v>8.5448682292627708E-3</v>
      </c>
      <c r="H21" s="60">
        <v>2.2662230000000001</v>
      </c>
      <c r="I21" s="60">
        <v>0.51741367999999999</v>
      </c>
      <c r="J21" s="60">
        <v>9.1167429999999996</v>
      </c>
      <c r="K21" s="60">
        <v>-0.93931790000000004</v>
      </c>
      <c r="N21" t="s">
        <v>213</v>
      </c>
      <c r="O21" s="5">
        <f>MIN(D$4:D$28)</f>
        <v>7.0621539291074897E-2</v>
      </c>
    </row>
    <row r="22" spans="2:16" x14ac:dyDescent="0.2">
      <c r="B22">
        <v>2013</v>
      </c>
      <c r="C22">
        <v>68</v>
      </c>
      <c r="D22" s="5">
        <v>0.17290902202615599</v>
      </c>
      <c r="E22" s="5">
        <v>0.151634265028078</v>
      </c>
      <c r="F22" s="5">
        <v>0.19418377902423301</v>
      </c>
      <c r="G22" s="5">
        <v>1.0854467856161801E-2</v>
      </c>
      <c r="H22" s="60">
        <v>3.2606389999999998</v>
      </c>
      <c r="I22" s="60">
        <v>1.5833358280000001</v>
      </c>
      <c r="J22" s="60">
        <v>9.5068549999999998</v>
      </c>
      <c r="K22" s="60">
        <v>-0.85565601999999996</v>
      </c>
      <c r="N22" t="s">
        <v>214</v>
      </c>
      <c r="O22" s="5">
        <f>MAX(D$4:D$28)</f>
        <v>0.33932720726465199</v>
      </c>
    </row>
    <row r="23" spans="2:16" x14ac:dyDescent="0.2">
      <c r="B23">
        <v>2014</v>
      </c>
      <c r="C23">
        <v>68</v>
      </c>
      <c r="D23" s="5">
        <v>0.28923531099253702</v>
      </c>
      <c r="E23" s="5">
        <v>0.26806839890100298</v>
      </c>
      <c r="F23" s="5">
        <v>0.31040222308407101</v>
      </c>
      <c r="G23" s="5">
        <v>1.07994449446601E-2</v>
      </c>
      <c r="H23" s="60">
        <v>1.840965</v>
      </c>
      <c r="I23" s="60">
        <v>6.1577097999999997E-2</v>
      </c>
      <c r="J23" s="60">
        <v>18.851441999999999</v>
      </c>
      <c r="K23" s="60">
        <v>1.1483445400000001</v>
      </c>
      <c r="N23" t="s">
        <v>82</v>
      </c>
      <c r="O23" s="5">
        <f>AVERAGE(D$4:D$28)</f>
        <v>0.20509805683672283</v>
      </c>
    </row>
    <row r="24" spans="2:16" x14ac:dyDescent="0.2">
      <c r="B24">
        <v>2015</v>
      </c>
      <c r="C24">
        <v>68</v>
      </c>
      <c r="D24" s="5">
        <v>0.22168090417469999</v>
      </c>
      <c r="E24" s="5">
        <v>0.20154988790342099</v>
      </c>
      <c r="F24" s="5">
        <v>0.24181192044597999</v>
      </c>
      <c r="G24" s="5">
        <v>1.0270926669020301E-2</v>
      </c>
      <c r="H24" s="60">
        <v>2.4873370000000001</v>
      </c>
      <c r="I24" s="60">
        <v>0.75442793900000005</v>
      </c>
      <c r="J24" s="60">
        <v>13.417486999999999</v>
      </c>
      <c r="K24" s="60">
        <v>-1.6998429999999998E-2</v>
      </c>
      <c r="N24" t="s">
        <v>215</v>
      </c>
      <c r="O24" s="5">
        <f>MEDIAN(D$4:D$28)</f>
        <v>0.19363864342572401</v>
      </c>
    </row>
    <row r="25" spans="2:16" x14ac:dyDescent="0.2">
      <c r="B25">
        <v>2016</v>
      </c>
      <c r="C25">
        <v>68</v>
      </c>
      <c r="D25" s="5">
        <v>0.16144959201033501</v>
      </c>
      <c r="E25" s="5">
        <v>0.142284380226261</v>
      </c>
      <c r="F25" s="5">
        <v>0.180614803794409</v>
      </c>
      <c r="G25" s="5">
        <v>9.7781692775887399E-3</v>
      </c>
      <c r="H25" s="60">
        <v>3.1532969999999998</v>
      </c>
      <c r="I25" s="60">
        <v>1.468275193</v>
      </c>
      <c r="J25" s="60">
        <v>6.7237489999999998</v>
      </c>
      <c r="K25" s="60">
        <v>-1.45250919</v>
      </c>
      <c r="N25" t="s">
        <v>72</v>
      </c>
      <c r="O25" s="5">
        <f>STDEV(D$4:D$28)/SQRT(COUNT(D4:D28))</f>
        <v>1.3354549176854367E-2</v>
      </c>
    </row>
    <row r="26" spans="2:16" x14ac:dyDescent="0.2">
      <c r="B26">
        <v>2017</v>
      </c>
      <c r="C26">
        <v>68</v>
      </c>
      <c r="D26" s="5">
        <v>0.170589385767042</v>
      </c>
      <c r="E26" s="5">
        <v>0.149130896971952</v>
      </c>
      <c r="F26" s="5">
        <v>0.19204787456213099</v>
      </c>
      <c r="G26" s="5">
        <v>1.09482085689233E-2</v>
      </c>
      <c r="H26" s="60">
        <v>3.3986290000000001</v>
      </c>
      <c r="I26" s="60">
        <v>1.7312482279999999</v>
      </c>
      <c r="J26" s="60">
        <v>10.032237</v>
      </c>
      <c r="K26" s="60">
        <v>-0.74298481000000005</v>
      </c>
    </row>
    <row r="27" spans="2:16" x14ac:dyDescent="0.2">
      <c r="B27">
        <v>2018</v>
      </c>
      <c r="C27">
        <v>68</v>
      </c>
      <c r="D27" s="5">
        <v>0.19363864342572401</v>
      </c>
      <c r="E27" s="5">
        <v>0.17022585623907799</v>
      </c>
      <c r="F27" s="5">
        <v>0.21705143061236901</v>
      </c>
      <c r="G27" s="5">
        <v>1.1945299585023401E-2</v>
      </c>
      <c r="H27" s="60">
        <v>3.5374560000000002</v>
      </c>
      <c r="I27" s="60">
        <v>1.880057173</v>
      </c>
      <c r="J27" s="60">
        <v>14.743980000000001</v>
      </c>
      <c r="K27" s="60">
        <v>0.26747567</v>
      </c>
    </row>
    <row r="28" spans="2:16" x14ac:dyDescent="0.2">
      <c r="B28">
        <v>2019</v>
      </c>
      <c r="C28">
        <v>68</v>
      </c>
      <c r="D28" s="5">
        <v>0.212249274413915</v>
      </c>
      <c r="E28" s="5">
        <v>0.189256120456406</v>
      </c>
      <c r="F28" s="5">
        <v>0.23524242837142501</v>
      </c>
      <c r="G28" s="5">
        <v>1.17312009987294E-2</v>
      </c>
      <c r="H28" s="60">
        <v>3.146852</v>
      </c>
      <c r="I28" s="60">
        <v>1.4613658540000001</v>
      </c>
      <c r="J28" s="60">
        <v>15.688224</v>
      </c>
      <c r="K28" s="60">
        <v>0.46997418000000002</v>
      </c>
    </row>
    <row r="32" spans="2:16" x14ac:dyDescent="0.2">
      <c r="M32" t="s">
        <v>216</v>
      </c>
    </row>
    <row r="33" spans="2:17" x14ac:dyDescent="0.2">
      <c r="B33" t="s">
        <v>206</v>
      </c>
      <c r="C33" t="s">
        <v>208</v>
      </c>
      <c r="D33" t="s">
        <v>209</v>
      </c>
      <c r="E33" t="s">
        <v>210</v>
      </c>
      <c r="F33" t="s">
        <v>211</v>
      </c>
      <c r="M33" t="s">
        <v>217</v>
      </c>
      <c r="N33" t="s">
        <v>218</v>
      </c>
    </row>
    <row r="34" spans="2:17" x14ac:dyDescent="0.2">
      <c r="B34">
        <v>2003</v>
      </c>
      <c r="C34" s="60">
        <v>1.407475</v>
      </c>
      <c r="D34" s="60">
        <v>-0.40308485100000002</v>
      </c>
      <c r="E34" s="60">
        <v>6.0410959999999996</v>
      </c>
      <c r="F34" s="60">
        <v>-1.5989081000000001</v>
      </c>
      <c r="M34">
        <v>0.22</v>
      </c>
      <c r="N34" s="5">
        <f>AVERAGE(D12:D14)</f>
        <v>0.18830564364573768</v>
      </c>
    </row>
    <row r="35" spans="2:17" x14ac:dyDescent="0.2">
      <c r="B35">
        <v>2006</v>
      </c>
      <c r="C35" s="60">
        <v>1.7772060000000001</v>
      </c>
      <c r="D35" s="60">
        <v>-6.7671069999999996E-3</v>
      </c>
      <c r="E35" s="60">
        <v>11.772380999999999</v>
      </c>
      <c r="F35" s="60">
        <v>-0.36980104000000003</v>
      </c>
      <c r="G35" s="22"/>
      <c r="H35" s="22"/>
      <c r="I35" s="22"/>
      <c r="J35" s="22"/>
      <c r="K35" s="22"/>
    </row>
    <row r="36" spans="2:17" x14ac:dyDescent="0.2">
      <c r="B36">
        <v>2014</v>
      </c>
      <c r="C36" s="60">
        <v>1.840965</v>
      </c>
      <c r="D36" s="60">
        <v>6.1577097999999997E-2</v>
      </c>
      <c r="E36" s="60">
        <v>18.851441999999999</v>
      </c>
      <c r="F36" s="60">
        <v>1.1483445400000001</v>
      </c>
      <c r="G36" s="22"/>
      <c r="H36" s="22"/>
      <c r="I36" s="22"/>
      <c r="J36" s="22"/>
      <c r="K36" s="22"/>
      <c r="M36" t="s">
        <v>219</v>
      </c>
    </row>
    <row r="37" spans="2:17" x14ac:dyDescent="0.2">
      <c r="B37" s="61">
        <v>2000</v>
      </c>
      <c r="C37" s="63">
        <v>1.941951</v>
      </c>
      <c r="D37" s="63">
        <v>0.16982408500000001</v>
      </c>
      <c r="E37" s="63">
        <v>10.193027000000001</v>
      </c>
      <c r="F37" s="63">
        <v>-0.70850245999999995</v>
      </c>
      <c r="G37" s="50"/>
      <c r="H37" s="50"/>
      <c r="I37" s="50"/>
      <c r="J37" s="50"/>
      <c r="K37" s="50"/>
      <c r="M37" t="s">
        <v>74</v>
      </c>
      <c r="N37" t="s">
        <v>220</v>
      </c>
      <c r="O37" t="s">
        <v>221</v>
      </c>
    </row>
    <row r="38" spans="2:17" x14ac:dyDescent="0.2">
      <c r="B38">
        <v>2001</v>
      </c>
      <c r="C38" s="60">
        <v>2.1535060000000001</v>
      </c>
      <c r="D38" s="60">
        <v>0.396591996</v>
      </c>
      <c r="E38" s="60">
        <v>13.207305</v>
      </c>
      <c r="F38" s="60">
        <v>-6.2073299999999998E-2</v>
      </c>
      <c r="G38" s="50"/>
      <c r="H38" s="50"/>
      <c r="I38" s="50"/>
      <c r="J38" s="50"/>
      <c r="K38" s="50"/>
      <c r="M38">
        <v>1986</v>
      </c>
      <c r="N38">
        <v>0.11</v>
      </c>
    </row>
    <row r="39" spans="2:17" x14ac:dyDescent="0.2">
      <c r="B39">
        <v>1997</v>
      </c>
      <c r="C39" s="60">
        <v>2.2617500000000001</v>
      </c>
      <c r="D39" s="60">
        <v>0.51261917800000001</v>
      </c>
      <c r="E39" s="60">
        <v>21.387284000000001</v>
      </c>
      <c r="F39" s="60">
        <v>1.6921704500000001</v>
      </c>
      <c r="G39" s="50"/>
      <c r="H39" s="50"/>
      <c r="I39" s="50"/>
      <c r="J39" s="50"/>
      <c r="K39" s="50"/>
      <c r="M39">
        <v>1987</v>
      </c>
      <c r="N39">
        <v>0.14000000000000001</v>
      </c>
    </row>
    <row r="40" spans="2:17" x14ac:dyDescent="0.2">
      <c r="B40">
        <v>2012</v>
      </c>
      <c r="C40" s="60">
        <v>2.2662230000000001</v>
      </c>
      <c r="D40" s="60">
        <v>0.51741367999999999</v>
      </c>
      <c r="E40" s="60">
        <v>9.1167429999999996</v>
      </c>
      <c r="F40" s="60">
        <v>-0.93931790000000004</v>
      </c>
      <c r="G40" s="50"/>
      <c r="H40" s="50"/>
      <c r="I40" s="50"/>
      <c r="J40" s="50"/>
      <c r="K40" s="50"/>
      <c r="M40">
        <v>1988</v>
      </c>
      <c r="N40">
        <v>0.2</v>
      </c>
      <c r="P40" t="s">
        <v>222</v>
      </c>
      <c r="Q40" t="s">
        <v>223</v>
      </c>
    </row>
    <row r="41" spans="2:17" x14ac:dyDescent="0.2">
      <c r="B41">
        <v>2011</v>
      </c>
      <c r="C41" s="60">
        <v>2.305053</v>
      </c>
      <c r="D41" s="60">
        <v>0.55903557999999998</v>
      </c>
      <c r="E41" s="60">
        <v>10.080812999999999</v>
      </c>
      <c r="F41" s="60">
        <v>-0.73256754999999996</v>
      </c>
      <c r="G41" s="50"/>
      <c r="H41" s="50"/>
      <c r="I41" s="50"/>
      <c r="J41" s="50"/>
      <c r="K41" s="50"/>
      <c r="M41">
        <v>1989</v>
      </c>
      <c r="N41">
        <v>0.2</v>
      </c>
      <c r="P41">
        <f>AVERAGE(N47:N58)</f>
        <v>0.11083333333333334</v>
      </c>
      <c r="Q41">
        <f>AVERAGE(O47:O58)</f>
        <v>0.22173416012414146</v>
      </c>
    </row>
    <row r="42" spans="2:17" x14ac:dyDescent="0.2">
      <c r="B42">
        <v>2004</v>
      </c>
      <c r="C42" s="60">
        <v>2.3571970000000002</v>
      </c>
      <c r="D42" s="60">
        <v>0.61492980799999997</v>
      </c>
      <c r="E42" s="60">
        <v>17.921309999999998</v>
      </c>
      <c r="F42" s="60">
        <v>0.94887242000000005</v>
      </c>
      <c r="G42" s="50"/>
      <c r="H42" s="50"/>
      <c r="I42" s="50"/>
      <c r="J42" s="50"/>
      <c r="K42" s="50"/>
      <c r="M42">
        <v>1990</v>
      </c>
      <c r="N42">
        <v>0.09</v>
      </c>
      <c r="P42">
        <f>MIN(N$47:N$58)</f>
        <v>0.05</v>
      </c>
      <c r="Q42">
        <f>MIN(O$47:O$58)</f>
        <v>0.14629774741947901</v>
      </c>
    </row>
    <row r="43" spans="2:17" x14ac:dyDescent="0.2">
      <c r="B43">
        <v>2005</v>
      </c>
      <c r="C43" s="60">
        <v>2.4433880000000001</v>
      </c>
      <c r="D43" s="60">
        <v>0.70731784399999997</v>
      </c>
      <c r="E43" s="60">
        <v>19.414572</v>
      </c>
      <c r="F43" s="60">
        <v>1.2691109899999999</v>
      </c>
      <c r="G43" s="50"/>
      <c r="H43" s="50"/>
      <c r="I43" s="50"/>
      <c r="J43" s="50"/>
      <c r="K43" s="50"/>
      <c r="M43">
        <v>1991</v>
      </c>
      <c r="N43">
        <v>0.1</v>
      </c>
      <c r="P43">
        <f>MAX(N$47:N$58)</f>
        <v>0.18</v>
      </c>
      <c r="Q43">
        <f>MAX(O$47:O$58)</f>
        <v>0.33932720726465199</v>
      </c>
    </row>
    <row r="44" spans="2:17" x14ac:dyDescent="0.2">
      <c r="B44">
        <v>2015</v>
      </c>
      <c r="C44" s="60">
        <v>2.4873370000000001</v>
      </c>
      <c r="D44" s="60">
        <v>0.75442793900000005</v>
      </c>
      <c r="E44" s="60">
        <v>13.417486999999999</v>
      </c>
      <c r="F44" s="60">
        <v>-1.6998429999999998E-2</v>
      </c>
      <c r="G44" s="50"/>
      <c r="H44" s="50"/>
      <c r="I44" s="50"/>
      <c r="J44" s="50"/>
      <c r="K44" s="50"/>
      <c r="M44">
        <v>1992</v>
      </c>
      <c r="N44">
        <v>0.16</v>
      </c>
    </row>
    <row r="45" spans="2:17" x14ac:dyDescent="0.2">
      <c r="B45">
        <v>2008</v>
      </c>
      <c r="C45" s="60">
        <v>2.5409760000000001</v>
      </c>
      <c r="D45" s="60">
        <v>0.81192365700000002</v>
      </c>
      <c r="E45" s="60">
        <v>10.112634</v>
      </c>
      <c r="F45" s="60">
        <v>-0.72574320999999997</v>
      </c>
      <c r="G45" s="50"/>
      <c r="H45" s="50"/>
      <c r="I45" s="50"/>
      <c r="J45" s="50"/>
      <c r="K45" s="50"/>
      <c r="M45">
        <v>1993</v>
      </c>
      <c r="N45">
        <v>0.22</v>
      </c>
    </row>
    <row r="46" spans="2:17" x14ac:dyDescent="0.2">
      <c r="B46">
        <v>2002</v>
      </c>
      <c r="C46" s="60">
        <v>2.6520459999999999</v>
      </c>
      <c r="D46" s="60">
        <v>0.93098028700000002</v>
      </c>
      <c r="E46" s="60">
        <v>12.314399</v>
      </c>
      <c r="F46" s="60">
        <v>-0.25356204999999998</v>
      </c>
      <c r="G46" s="50"/>
      <c r="H46" s="50"/>
      <c r="I46" s="50"/>
      <c r="J46" s="50"/>
      <c r="K46" s="50"/>
      <c r="M46">
        <v>1994</v>
      </c>
      <c r="N46">
        <v>0.08</v>
      </c>
    </row>
    <row r="47" spans="2:17" x14ac:dyDescent="0.2">
      <c r="B47">
        <v>1999</v>
      </c>
      <c r="C47" s="60">
        <v>3.0855190000000001</v>
      </c>
      <c r="D47" s="60">
        <v>1.395622637</v>
      </c>
      <c r="E47" s="60">
        <v>16.089687000000001</v>
      </c>
      <c r="F47" s="60">
        <v>0.55607015000000004</v>
      </c>
      <c r="G47" s="50"/>
      <c r="H47" s="50"/>
      <c r="I47" s="50"/>
      <c r="J47" s="50"/>
      <c r="K47" s="50"/>
      <c r="M47">
        <v>1995</v>
      </c>
      <c r="N47">
        <v>0.17</v>
      </c>
      <c r="O47" s="5">
        <v>0.161180368322037</v>
      </c>
      <c r="P47" s="5">
        <f>N47-O47</f>
        <v>8.8196316779630135E-3</v>
      </c>
    </row>
    <row r="48" spans="2:17" x14ac:dyDescent="0.2">
      <c r="B48">
        <v>2009</v>
      </c>
      <c r="C48" s="60">
        <v>3.1391460000000002</v>
      </c>
      <c r="D48" s="60">
        <v>1.4531065940000001</v>
      </c>
      <c r="E48" s="60">
        <v>18.973513000000001</v>
      </c>
      <c r="F48" s="60">
        <v>1.17452333</v>
      </c>
      <c r="G48" s="50"/>
      <c r="H48" s="50"/>
      <c r="I48" s="50"/>
      <c r="J48" s="50"/>
      <c r="K48" s="50"/>
      <c r="M48">
        <v>1996</v>
      </c>
      <c r="N48">
        <v>0.18</v>
      </c>
      <c r="O48" s="5">
        <v>0.14629774741947901</v>
      </c>
      <c r="P48" s="5">
        <f t="shared" ref="P48:P58" si="0">N48-O48</f>
        <v>3.370225258052098E-2</v>
      </c>
    </row>
    <row r="49" spans="2:16" x14ac:dyDescent="0.2">
      <c r="B49">
        <v>2019</v>
      </c>
      <c r="C49" s="60">
        <v>3.146852</v>
      </c>
      <c r="D49" s="60">
        <v>1.4613658540000001</v>
      </c>
      <c r="E49" s="60">
        <v>15.688224</v>
      </c>
      <c r="F49" s="60">
        <v>0.46997418000000002</v>
      </c>
      <c r="G49" s="50"/>
      <c r="H49" s="50"/>
      <c r="I49" s="50"/>
      <c r="J49" s="50"/>
      <c r="K49" s="50"/>
      <c r="M49">
        <v>1997</v>
      </c>
      <c r="N49">
        <v>0.1</v>
      </c>
      <c r="O49" s="5">
        <v>0.32402767076368899</v>
      </c>
      <c r="P49" s="5">
        <f t="shared" si="0"/>
        <v>-0.22402767076368899</v>
      </c>
    </row>
    <row r="50" spans="2:16" x14ac:dyDescent="0.2">
      <c r="B50">
        <v>2016</v>
      </c>
      <c r="C50" s="60">
        <v>3.1532969999999998</v>
      </c>
      <c r="D50" s="60">
        <v>1.468275193</v>
      </c>
      <c r="E50" s="60">
        <v>6.7237489999999998</v>
      </c>
      <c r="F50" s="60">
        <v>-1.45250919</v>
      </c>
      <c r="G50" s="50"/>
      <c r="H50" s="50"/>
      <c r="I50" s="50"/>
      <c r="J50" s="50"/>
      <c r="K50" s="50"/>
      <c r="M50">
        <v>1998</v>
      </c>
      <c r="N50">
        <v>0.05</v>
      </c>
      <c r="O50" s="5">
        <v>0.32960383861716802</v>
      </c>
      <c r="P50" s="5">
        <f t="shared" si="0"/>
        <v>-0.27960383861716803</v>
      </c>
    </row>
    <row r="51" spans="2:16" x14ac:dyDescent="0.2">
      <c r="B51">
        <v>2013</v>
      </c>
      <c r="C51" s="60">
        <v>3.2606389999999998</v>
      </c>
      <c r="D51" s="60">
        <v>1.5833358280000001</v>
      </c>
      <c r="E51" s="60">
        <v>9.5068549999999998</v>
      </c>
      <c r="F51" s="60">
        <v>-0.85565601999999996</v>
      </c>
      <c r="G51" s="50"/>
      <c r="H51" s="50"/>
      <c r="I51" s="50"/>
      <c r="J51" s="50"/>
      <c r="K51" s="50"/>
      <c r="M51">
        <v>1999</v>
      </c>
      <c r="N51">
        <v>0.1</v>
      </c>
      <c r="O51" s="5">
        <v>0.263061127985801</v>
      </c>
      <c r="P51" s="5">
        <f t="shared" si="0"/>
        <v>-0.163061127985801</v>
      </c>
    </row>
    <row r="52" spans="2:16" x14ac:dyDescent="0.2">
      <c r="B52">
        <v>2017</v>
      </c>
      <c r="C52" s="60">
        <v>3.3986290000000001</v>
      </c>
      <c r="D52" s="60">
        <v>1.7312482279999999</v>
      </c>
      <c r="E52" s="60">
        <v>10.032237</v>
      </c>
      <c r="F52" s="60">
        <v>-0.74298481000000005</v>
      </c>
      <c r="G52" s="50"/>
      <c r="H52" s="50"/>
      <c r="I52" s="50"/>
      <c r="J52" s="50"/>
      <c r="K52" s="50"/>
      <c r="M52">
        <v>2000</v>
      </c>
      <c r="N52">
        <v>0.12</v>
      </c>
      <c r="O52" s="62">
        <v>0.33932720726465199</v>
      </c>
      <c r="P52" s="5">
        <f t="shared" si="0"/>
        <v>-0.21932720726465199</v>
      </c>
    </row>
    <row r="53" spans="2:16" x14ac:dyDescent="0.2">
      <c r="B53">
        <v>2018</v>
      </c>
      <c r="C53" s="60">
        <v>3.5374560000000002</v>
      </c>
      <c r="D53" s="60">
        <v>1.880057173</v>
      </c>
      <c r="E53" s="60">
        <v>14.743980000000001</v>
      </c>
      <c r="F53" s="60">
        <v>0.26747567</v>
      </c>
      <c r="G53" s="50"/>
      <c r="H53" s="50"/>
      <c r="I53" s="50"/>
      <c r="J53" s="50"/>
      <c r="K53" s="50"/>
      <c r="M53">
        <v>2001</v>
      </c>
      <c r="N53">
        <v>0.15</v>
      </c>
      <c r="O53" s="5">
        <v>0.15128780656652099</v>
      </c>
      <c r="P53" s="5">
        <f t="shared" si="0"/>
        <v>-1.2878065665209992E-3</v>
      </c>
    </row>
    <row r="54" spans="2:16" x14ac:dyDescent="0.2">
      <c r="B54">
        <v>1996</v>
      </c>
      <c r="C54" s="60">
        <v>3.54372</v>
      </c>
      <c r="D54" s="60">
        <v>1.886772095</v>
      </c>
      <c r="E54" s="60">
        <v>6.1373220000000002</v>
      </c>
      <c r="F54" s="60">
        <v>-1.57827184</v>
      </c>
      <c r="G54" s="50"/>
      <c r="H54" s="50"/>
      <c r="I54" s="50"/>
      <c r="J54" s="50"/>
      <c r="K54" s="50"/>
      <c r="M54">
        <v>2002</v>
      </c>
      <c r="N54">
        <v>0.12</v>
      </c>
      <c r="O54" s="5">
        <v>0.15497274084655899</v>
      </c>
      <c r="P54" s="5">
        <f t="shared" si="0"/>
        <v>-3.4972740846558992E-2</v>
      </c>
    </row>
    <row r="55" spans="2:16" x14ac:dyDescent="0.2">
      <c r="B55">
        <v>2010</v>
      </c>
      <c r="C55" s="60">
        <v>3.6416759999999999</v>
      </c>
      <c r="D55" s="60">
        <v>1.9917712299999999</v>
      </c>
      <c r="E55" s="60">
        <v>15.313998</v>
      </c>
      <c r="F55" s="60">
        <v>0.38971934000000003</v>
      </c>
      <c r="G55" s="50"/>
      <c r="H55" s="50"/>
      <c r="I55" s="50"/>
      <c r="J55" s="50"/>
      <c r="K55" s="50"/>
      <c r="M55">
        <v>2003</v>
      </c>
      <c r="N55">
        <v>0.05</v>
      </c>
      <c r="O55" s="5">
        <v>0.15270189903676801</v>
      </c>
      <c r="P55" s="5">
        <f t="shared" si="0"/>
        <v>-0.102701899036768</v>
      </c>
    </row>
    <row r="56" spans="2:16" x14ac:dyDescent="0.2">
      <c r="B56" s="64">
        <v>2007</v>
      </c>
      <c r="C56" s="66">
        <v>4.0385260000000001</v>
      </c>
      <c r="D56" s="66">
        <v>2.4171581149999999</v>
      </c>
      <c r="E56" s="66">
        <v>11.857436</v>
      </c>
      <c r="F56" s="66">
        <v>-0.3515605</v>
      </c>
      <c r="G56" s="50"/>
      <c r="H56" s="50"/>
      <c r="I56" s="50"/>
      <c r="J56" s="50"/>
      <c r="K56" s="50"/>
      <c r="M56">
        <v>2004</v>
      </c>
      <c r="N56">
        <v>7.0000000000000007E-2</v>
      </c>
      <c r="O56" s="5">
        <v>0.15924471355518699</v>
      </c>
      <c r="P56" s="5">
        <f t="shared" si="0"/>
        <v>-8.9244713555186983E-2</v>
      </c>
    </row>
    <row r="57" spans="2:16" x14ac:dyDescent="0.2">
      <c r="B57">
        <v>1998</v>
      </c>
      <c r="C57" s="60">
        <v>4.2521709999999997</v>
      </c>
      <c r="D57" s="60">
        <v>2.6461653799999998</v>
      </c>
      <c r="E57" s="60">
        <v>19.381209999999999</v>
      </c>
      <c r="F57" s="60">
        <v>1.2619564299999999</v>
      </c>
      <c r="G57" s="50"/>
      <c r="H57" s="50"/>
      <c r="I57" s="50"/>
      <c r="J57" s="50"/>
      <c r="K57" s="50"/>
      <c r="M57">
        <v>2005</v>
      </c>
      <c r="N57">
        <v>7.0000000000000007E-2</v>
      </c>
      <c r="O57" s="5">
        <v>0.25297031834525802</v>
      </c>
      <c r="P57" s="5">
        <f t="shared" si="0"/>
        <v>-0.18297031834525801</v>
      </c>
    </row>
    <row r="58" spans="2:16" x14ac:dyDescent="0.2">
      <c r="B58">
        <v>1995</v>
      </c>
      <c r="C58" s="60">
        <v>5.6071660000000003</v>
      </c>
      <c r="D58" s="60">
        <v>4.0985949140000004</v>
      </c>
      <c r="E58" s="60">
        <v>17.672813999999999</v>
      </c>
      <c r="F58" s="60">
        <v>0.89558104999999999</v>
      </c>
      <c r="G58" s="50"/>
      <c r="H58" s="50"/>
      <c r="I58" s="50"/>
      <c r="J58" s="50"/>
      <c r="K58" s="50"/>
      <c r="M58">
        <v>2006</v>
      </c>
      <c r="N58">
        <v>0.15</v>
      </c>
      <c r="O58" s="5">
        <v>0.22613448276657799</v>
      </c>
      <c r="P58" s="5">
        <f t="shared" si="0"/>
        <v>-7.6134482766577999E-2</v>
      </c>
    </row>
    <row r="59" spans="2:16" x14ac:dyDescent="0.2">
      <c r="F59" s="22"/>
      <c r="G59" s="50"/>
      <c r="H59" s="50"/>
      <c r="I59" s="50"/>
      <c r="J59" s="50"/>
      <c r="K59" s="50"/>
    </row>
    <row r="60" spans="2:16" x14ac:dyDescent="0.2">
      <c r="F60" s="22"/>
      <c r="G60" s="50"/>
      <c r="H60" s="50"/>
      <c r="I60" s="50"/>
      <c r="J60" s="50"/>
      <c r="K60" s="50"/>
    </row>
  </sheetData>
  <pageMargins left="0.7" right="0.7" top="0.75" bottom="0.75" header="0.3" footer="0.3"/>
  <drawing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A4BBF-ECFB-F841-BED3-6C5F9CA52968}">
  <sheetPr>
    <tabColor theme="9" tint="0.59999389629810485"/>
  </sheetPr>
  <dimension ref="B2:Q35"/>
  <sheetViews>
    <sheetView workbookViewId="0">
      <selection activeCell="I14" sqref="I14"/>
    </sheetView>
  </sheetViews>
  <sheetFormatPr baseColWidth="10" defaultRowHeight="16" x14ac:dyDescent="0.2"/>
  <sheetData>
    <row r="2" spans="2:17" x14ac:dyDescent="0.2">
      <c r="B2" s="26" t="s">
        <v>74</v>
      </c>
      <c r="C2" s="26" t="s">
        <v>224</v>
      </c>
      <c r="D2" s="26" t="s">
        <v>225</v>
      </c>
      <c r="E2" s="26" t="s">
        <v>226</v>
      </c>
      <c r="F2" s="26" t="s">
        <v>227</v>
      </c>
      <c r="G2" s="26" t="s">
        <v>228</v>
      </c>
      <c r="H2" s="26" t="s">
        <v>229</v>
      </c>
      <c r="I2" s="26" t="s">
        <v>187</v>
      </c>
      <c r="J2" s="26" t="s">
        <v>189</v>
      </c>
      <c r="K2" s="26" t="s">
        <v>230</v>
      </c>
      <c r="L2" s="26" t="s">
        <v>231</v>
      </c>
    </row>
    <row r="3" spans="2:17" x14ac:dyDescent="0.2">
      <c r="B3">
        <v>1995</v>
      </c>
      <c r="C3" s="5">
        <v>0.161</v>
      </c>
      <c r="D3" s="6">
        <v>10599.45</v>
      </c>
      <c r="E3" s="5">
        <v>0.33800000000000002</v>
      </c>
      <c r="F3" s="6">
        <v>3582.6140999999998</v>
      </c>
      <c r="G3" s="6">
        <v>315.94297887699781</v>
      </c>
      <c r="H3" s="29">
        <v>157.97148945000001</v>
      </c>
      <c r="I3" s="5">
        <v>4.40939171902439E-2</v>
      </c>
      <c r="J3" s="5">
        <v>0.79490608280975605</v>
      </c>
      <c r="K3" s="5">
        <v>9.5984464793968494E-2</v>
      </c>
      <c r="L3" s="5">
        <v>1.7303664492037101</v>
      </c>
    </row>
    <row r="4" spans="2:17" x14ac:dyDescent="0.2">
      <c r="B4">
        <v>1996</v>
      </c>
      <c r="C4" s="5">
        <v>0.14599999999999999</v>
      </c>
      <c r="D4" s="6">
        <v>11189.033600000001</v>
      </c>
      <c r="E4" s="5">
        <v>0.3589</v>
      </c>
      <c r="F4" s="6">
        <v>4015.7441590399999</v>
      </c>
      <c r="G4" s="6">
        <v>818.66504285714268</v>
      </c>
      <c r="H4" s="29">
        <v>409.33252145</v>
      </c>
      <c r="I4" s="5">
        <v>0.10193192122396599</v>
      </c>
      <c r="J4" s="5">
        <v>0.75206807877603399</v>
      </c>
      <c r="K4" s="5">
        <v>0.22966296177568399</v>
      </c>
      <c r="L4" s="5">
        <v>1.69448569549812</v>
      </c>
    </row>
    <row r="5" spans="2:17" x14ac:dyDescent="0.2">
      <c r="B5">
        <v>1997</v>
      </c>
      <c r="C5" s="5">
        <v>0.32400000000000001</v>
      </c>
      <c r="D5" s="6">
        <v>9091.9263040000005</v>
      </c>
      <c r="E5" s="5">
        <v>0.38140000000000002</v>
      </c>
      <c r="F5" s="6">
        <v>3467.6606923456002</v>
      </c>
      <c r="G5" s="6">
        <v>451.76632600288696</v>
      </c>
      <c r="H5" s="29">
        <v>225.883163</v>
      </c>
      <c r="I5" s="5">
        <v>6.5139926463970405E-2</v>
      </c>
      <c r="J5" s="5">
        <v>0.61086007353603</v>
      </c>
      <c r="K5" s="5">
        <v>0.10859979789676601</v>
      </c>
      <c r="L5" s="5">
        <v>1.0184119652930399</v>
      </c>
    </row>
    <row r="6" spans="2:17" x14ac:dyDescent="0.2">
      <c r="B6">
        <v>1998</v>
      </c>
      <c r="C6" s="5">
        <v>0.33</v>
      </c>
      <c r="D6" s="6">
        <v>8267.9510489999993</v>
      </c>
      <c r="E6" s="5">
        <v>0.3644</v>
      </c>
      <c r="F6" s="6">
        <v>3012.8413622556</v>
      </c>
      <c r="G6" s="6">
        <v>377.26060035153318</v>
      </c>
      <c r="H6" s="29">
        <v>188.63030019999999</v>
      </c>
      <c r="I6" s="5">
        <v>6.2608771971866803E-2</v>
      </c>
      <c r="J6" s="5">
        <v>0.60739122802813295</v>
      </c>
      <c r="K6" s="5">
        <v>0.103600008137918</v>
      </c>
      <c r="L6" s="5">
        <v>1.00506261638369</v>
      </c>
    </row>
    <row r="7" spans="2:17" x14ac:dyDescent="0.2">
      <c r="B7">
        <v>1999</v>
      </c>
      <c r="C7" s="5">
        <v>0.26300000000000001</v>
      </c>
      <c r="D7" s="6">
        <v>7452.2177439999996</v>
      </c>
      <c r="E7" s="5">
        <v>0.40110000000000001</v>
      </c>
      <c r="F7" s="6">
        <v>2989.0845371184</v>
      </c>
      <c r="G7" s="6">
        <v>701.09633117597434</v>
      </c>
      <c r="H7" s="29">
        <v>350.5481656</v>
      </c>
      <c r="I7" s="5">
        <v>0.117276097614504</v>
      </c>
      <c r="J7" s="5">
        <v>0.61972390238549602</v>
      </c>
      <c r="K7" s="5">
        <v>0.212529310982744</v>
      </c>
      <c r="L7" s="5">
        <v>1.1230719358216299</v>
      </c>
    </row>
    <row r="8" spans="2:17" x14ac:dyDescent="0.2">
      <c r="B8">
        <v>2000</v>
      </c>
      <c r="C8" s="5">
        <v>0.33900000000000002</v>
      </c>
      <c r="D8" s="6">
        <v>9731.1632539999991</v>
      </c>
      <c r="E8" s="5">
        <v>0.38390000000000002</v>
      </c>
      <c r="F8" s="6">
        <v>3735.7935732105998</v>
      </c>
      <c r="G8" s="6">
        <v>422.60500465940009</v>
      </c>
      <c r="H8" s="29">
        <v>211.30250235</v>
      </c>
      <c r="I8" s="5">
        <v>5.6561610456744703E-2</v>
      </c>
      <c r="J8" s="5">
        <v>0.60443838954325502</v>
      </c>
      <c r="K8" s="5">
        <v>9.2565528934498695E-2</v>
      </c>
      <c r="L8" s="5">
        <v>0.98918964266718801</v>
      </c>
    </row>
    <row r="9" spans="2:17" x14ac:dyDescent="0.2">
      <c r="B9">
        <v>2001</v>
      </c>
      <c r="C9" s="5">
        <v>0.151</v>
      </c>
      <c r="D9" s="6">
        <v>6555.3840810000002</v>
      </c>
      <c r="E9" s="5">
        <v>0.3866</v>
      </c>
      <c r="F9" s="6">
        <v>2534.3114857146002</v>
      </c>
      <c r="G9" s="6">
        <v>679.46138973518998</v>
      </c>
      <c r="H9" s="29">
        <v>339.73069485000002</v>
      </c>
      <c r="I9" s="5">
        <v>0.134052461526533</v>
      </c>
      <c r="J9" s="5">
        <v>0.71494753847346704</v>
      </c>
      <c r="K9" s="5">
        <v>0.29849574379031302</v>
      </c>
      <c r="L9" s="5">
        <v>1.5919796983768999</v>
      </c>
    </row>
    <row r="10" spans="2:17" x14ac:dyDescent="0.2">
      <c r="B10">
        <v>2002</v>
      </c>
      <c r="C10" s="5">
        <v>0.155</v>
      </c>
      <c r="D10" s="6">
        <v>7171.9534139999996</v>
      </c>
      <c r="E10" s="5">
        <v>0.38729999999999998</v>
      </c>
      <c r="F10" s="6">
        <v>2777.6975572422002</v>
      </c>
      <c r="G10" s="6">
        <v>714.56893109065174</v>
      </c>
      <c r="H10" s="29">
        <v>357.28446554999999</v>
      </c>
      <c r="I10" s="5">
        <v>0.128626120262335</v>
      </c>
      <c r="J10" s="5">
        <v>0.71637387973766498</v>
      </c>
      <c r="K10" s="5">
        <v>0.28378882323574001</v>
      </c>
      <c r="L10" s="5">
        <v>1.5805413388271501</v>
      </c>
    </row>
    <row r="11" spans="2:17" x14ac:dyDescent="0.2">
      <c r="B11">
        <v>2003</v>
      </c>
      <c r="C11" s="5">
        <v>0.153</v>
      </c>
      <c r="D11" s="6">
        <v>8064.9811300000001</v>
      </c>
      <c r="E11" s="5">
        <v>0.4133</v>
      </c>
      <c r="F11" s="6">
        <v>3333.2567010289999</v>
      </c>
      <c r="G11" s="6">
        <v>1344.7799238043472</v>
      </c>
      <c r="H11" s="29">
        <v>672.38996199999997</v>
      </c>
      <c r="I11" s="5">
        <v>0.20172162618018599</v>
      </c>
      <c r="J11" s="5">
        <v>0.64527837381981401</v>
      </c>
      <c r="K11" s="5">
        <v>0.44710213722465703</v>
      </c>
      <c r="L11" s="5">
        <v>1.43021522036505</v>
      </c>
    </row>
    <row r="12" spans="2:17" x14ac:dyDescent="0.2">
      <c r="B12">
        <v>2004</v>
      </c>
      <c r="C12" s="5">
        <v>0.159</v>
      </c>
      <c r="D12" s="6">
        <v>7296.0153440000004</v>
      </c>
      <c r="E12" s="5">
        <v>0.40050000000000002</v>
      </c>
      <c r="F12" s="6">
        <v>2922.0541452719999</v>
      </c>
      <c r="G12" s="6">
        <v>347.45178058136673</v>
      </c>
      <c r="H12" s="29">
        <v>173.7258903</v>
      </c>
      <c r="I12" s="5">
        <v>5.94533428914494E-2</v>
      </c>
      <c r="J12" s="5">
        <v>0.78154665710854998</v>
      </c>
      <c r="K12" s="5">
        <v>0.12999505778006701</v>
      </c>
      <c r="L12" s="5">
        <v>1.70885601898184</v>
      </c>
    </row>
    <row r="13" spans="2:17" x14ac:dyDescent="0.2">
      <c r="B13">
        <v>2005</v>
      </c>
      <c r="C13" s="5">
        <v>0.253</v>
      </c>
      <c r="D13" s="6">
        <v>7114.7534420000002</v>
      </c>
      <c r="E13" s="5">
        <v>0.44990000000000002</v>
      </c>
      <c r="F13" s="6">
        <v>3200.9275735557999</v>
      </c>
      <c r="G13" s="6">
        <v>445.87959380593247</v>
      </c>
      <c r="H13" s="29">
        <v>222.9397969</v>
      </c>
      <c r="I13" s="5">
        <v>6.9648497173131901E-2</v>
      </c>
      <c r="J13" s="5">
        <v>0.67735150282686796</v>
      </c>
      <c r="K13" s="5">
        <v>0.12814258615448201</v>
      </c>
      <c r="L13" s="5">
        <v>1.24622320410014</v>
      </c>
    </row>
    <row r="14" spans="2:17" x14ac:dyDescent="0.2">
      <c r="B14">
        <v>2006</v>
      </c>
      <c r="C14" s="5">
        <v>0.22600000000000001</v>
      </c>
      <c r="D14" s="6">
        <v>6403.0681370000002</v>
      </c>
      <c r="E14" s="5">
        <v>0.2621</v>
      </c>
      <c r="F14" s="6">
        <v>1678.2441587077001</v>
      </c>
      <c r="G14" s="6">
        <v>1477.375177087423</v>
      </c>
      <c r="H14" s="29">
        <v>738.68758849999995</v>
      </c>
      <c r="I14" s="5">
        <v>0.44015500753704401</v>
      </c>
      <c r="J14" s="5">
        <v>0.33384499246295601</v>
      </c>
      <c r="K14" s="5">
        <v>0.84574606385650397</v>
      </c>
      <c r="L14" s="5">
        <v>0.64147421585334796</v>
      </c>
      <c r="N14" t="s">
        <v>232</v>
      </c>
    </row>
    <row r="15" spans="2:17" x14ac:dyDescent="0.2">
      <c r="B15">
        <v>2007</v>
      </c>
      <c r="C15" s="5">
        <v>7.0999999999999994E-2</v>
      </c>
      <c r="D15" s="6">
        <v>6487.6019150000002</v>
      </c>
      <c r="E15" s="5">
        <v>0.40760000000000002</v>
      </c>
      <c r="F15" s="6">
        <v>2644.3465405540001</v>
      </c>
      <c r="G15" s="6">
        <v>520.52042233300756</v>
      </c>
      <c r="H15" s="29">
        <v>260.26021114999998</v>
      </c>
      <c r="I15" s="5">
        <v>9.8421372218050807E-2</v>
      </c>
      <c r="J15" s="5">
        <v>0.83057862778194902</v>
      </c>
      <c r="K15" s="5">
        <v>0.28022814927796302</v>
      </c>
      <c r="L15" s="5">
        <v>2.3648472526628601</v>
      </c>
      <c r="O15" t="s">
        <v>96</v>
      </c>
      <c r="P15" t="s">
        <v>91</v>
      </c>
      <c r="Q15" t="s">
        <v>92</v>
      </c>
    </row>
    <row r="16" spans="2:17" x14ac:dyDescent="0.2">
      <c r="B16">
        <v>2008</v>
      </c>
      <c r="C16" s="5">
        <v>0.20399999999999999</v>
      </c>
      <c r="D16" s="6">
        <v>6853.8616830000001</v>
      </c>
      <c r="E16" s="5">
        <v>0.40079999999999999</v>
      </c>
      <c r="F16" s="6">
        <v>2747.0277625464</v>
      </c>
      <c r="G16" s="6">
        <v>283.25702290000015</v>
      </c>
      <c r="H16" s="29">
        <v>141.62851144999999</v>
      </c>
      <c r="I16" s="5">
        <v>5.1556999696180703E-2</v>
      </c>
      <c r="J16" s="5">
        <v>0.74444300030381905</v>
      </c>
      <c r="K16" s="5">
        <v>0.102960836573987</v>
      </c>
      <c r="L16" s="5">
        <v>1.4866744485639301</v>
      </c>
      <c r="N16" t="s">
        <v>104</v>
      </c>
      <c r="O16" s="2">
        <v>0</v>
      </c>
      <c r="P16" s="2">
        <v>0</v>
      </c>
      <c r="Q16" s="2">
        <v>1.9226920000000002E-2</v>
      </c>
    </row>
    <row r="17" spans="2:17" x14ac:dyDescent="0.2">
      <c r="B17">
        <v>2009</v>
      </c>
      <c r="C17" s="5">
        <v>0.23300000000000001</v>
      </c>
      <c r="D17" s="6">
        <v>5869.8766130000004</v>
      </c>
      <c r="E17" s="5">
        <v>0.3659</v>
      </c>
      <c r="F17" s="6">
        <v>2147.7878526967002</v>
      </c>
      <c r="G17" s="6">
        <v>212.2903949233376</v>
      </c>
      <c r="H17" s="29">
        <v>106.14519745</v>
      </c>
      <c r="I17" s="5">
        <v>4.9420707440432102E-2</v>
      </c>
      <c r="J17" s="5">
        <v>0.71757929255956798</v>
      </c>
      <c r="K17" s="5">
        <v>9.3861767995385495E-2</v>
      </c>
      <c r="L17" s="5">
        <v>1.3628550574210501</v>
      </c>
      <c r="N17" t="s">
        <v>105</v>
      </c>
      <c r="O17" s="2">
        <v>1.6476649999999999E-2</v>
      </c>
      <c r="P17" s="2">
        <v>0</v>
      </c>
      <c r="Q17" s="2">
        <v>0.10501050000000001</v>
      </c>
    </row>
    <row r="18" spans="2:17" x14ac:dyDescent="0.2">
      <c r="B18">
        <v>2010</v>
      </c>
      <c r="C18" s="5">
        <v>0.193</v>
      </c>
      <c r="D18" s="6">
        <v>4955.7685970000002</v>
      </c>
      <c r="E18" s="5">
        <v>0.3795</v>
      </c>
      <c r="F18" s="6">
        <v>1880.7141825614999</v>
      </c>
      <c r="G18" s="6">
        <v>562.48606578559986</v>
      </c>
      <c r="H18" s="29">
        <v>281.2430329</v>
      </c>
      <c r="I18" s="5">
        <v>0.149540548425699</v>
      </c>
      <c r="J18" s="5">
        <v>0.65745945157430097</v>
      </c>
      <c r="K18" s="5">
        <v>0.30483759078825801</v>
      </c>
      <c r="L18" s="5">
        <v>1.34022749928899</v>
      </c>
    </row>
    <row r="19" spans="2:17" x14ac:dyDescent="0.2">
      <c r="B19">
        <v>2011</v>
      </c>
      <c r="C19" s="5">
        <v>0.124</v>
      </c>
      <c r="D19" s="6">
        <v>4193.9484309999998</v>
      </c>
      <c r="E19" s="5">
        <v>0.36909999999999998</v>
      </c>
      <c r="F19" s="6">
        <v>1547.9863658821</v>
      </c>
      <c r="G19" s="6">
        <v>115.69706334891372</v>
      </c>
      <c r="H19" s="29">
        <v>57.848531649999998</v>
      </c>
      <c r="I19" s="5">
        <v>3.7370180803914001E-2</v>
      </c>
      <c r="J19" s="5">
        <v>0.83862981919608603</v>
      </c>
      <c r="K19" s="5">
        <v>8.9051678187580002E-2</v>
      </c>
      <c r="L19" s="5">
        <v>1.9984220351895201</v>
      </c>
    </row>
    <row r="20" spans="2:17" x14ac:dyDescent="0.2">
      <c r="B20">
        <v>2012</v>
      </c>
      <c r="C20" s="5">
        <v>0.221</v>
      </c>
      <c r="D20" s="6">
        <v>4433.6607480000002</v>
      </c>
      <c r="E20" s="5">
        <v>0.38090000000000002</v>
      </c>
      <c r="F20" s="6">
        <v>1688.7813789131999</v>
      </c>
      <c r="G20" s="6">
        <v>154.13059059336993</v>
      </c>
      <c r="H20" s="29">
        <v>77.065295300000002</v>
      </c>
      <c r="I20" s="5">
        <v>4.5633671296948203E-2</v>
      </c>
      <c r="J20" s="5">
        <v>0.73336632870305196</v>
      </c>
      <c r="K20" s="5">
        <v>8.8431645022236896E-2</v>
      </c>
      <c r="L20" s="5">
        <v>1.4211609324421499</v>
      </c>
    </row>
    <row r="21" spans="2:17" x14ac:dyDescent="0.2">
      <c r="B21">
        <v>2013</v>
      </c>
      <c r="C21" s="5">
        <v>0.17299999999999999</v>
      </c>
      <c r="D21" s="6">
        <v>4099.8828380000004</v>
      </c>
      <c r="E21" s="5">
        <v>0.378</v>
      </c>
      <c r="F21" s="6">
        <v>1549.755712764</v>
      </c>
      <c r="G21" s="6">
        <v>143.00192584090902</v>
      </c>
      <c r="H21" s="29">
        <v>71.500962900000005</v>
      </c>
      <c r="I21" s="5">
        <v>4.6136925258606902E-2</v>
      </c>
      <c r="J21" s="5">
        <v>0.78086307474139305</v>
      </c>
      <c r="K21" s="5">
        <v>9.7878548827079706E-2</v>
      </c>
      <c r="L21" s="5">
        <v>1.6565851356572801</v>
      </c>
    </row>
    <row r="22" spans="2:17" x14ac:dyDescent="0.2">
      <c r="B22">
        <v>2014</v>
      </c>
      <c r="C22" s="5">
        <v>0.28899999999999998</v>
      </c>
      <c r="D22" s="6">
        <v>4241.3692080000001</v>
      </c>
      <c r="E22" s="5">
        <v>0.39990334084853901</v>
      </c>
      <c r="F22" s="6">
        <v>1696.5476831999999</v>
      </c>
      <c r="G22" s="6">
        <v>316.55242842912111</v>
      </c>
      <c r="H22" s="29">
        <v>158.2762142</v>
      </c>
      <c r="I22" s="5">
        <v>9.3293111770450105E-2</v>
      </c>
      <c r="J22" s="5">
        <v>0.61770688822955</v>
      </c>
      <c r="K22" s="5">
        <v>0.16287961599418099</v>
      </c>
      <c r="L22" s="5">
        <v>1.0784489748755199</v>
      </c>
      <c r="N22" t="s">
        <v>216</v>
      </c>
    </row>
    <row r="23" spans="2:17" x14ac:dyDescent="0.2">
      <c r="B23">
        <v>2015</v>
      </c>
      <c r="C23" s="5">
        <v>0.222</v>
      </c>
      <c r="D23" s="6">
        <v>4177.6028109999997</v>
      </c>
      <c r="E23" s="5">
        <v>0.41273144773755199</v>
      </c>
      <c r="F23" s="6">
        <v>1725.349960943</v>
      </c>
      <c r="G23" s="6">
        <v>265.30868227566123</v>
      </c>
      <c r="H23" s="29">
        <v>132.65434114999999</v>
      </c>
      <c r="I23" s="5">
        <v>7.6885467383429495E-2</v>
      </c>
      <c r="J23" s="5">
        <v>0.70111453261656997</v>
      </c>
      <c r="K23" s="5">
        <v>0.14873858299198001</v>
      </c>
      <c r="L23" s="5">
        <v>1.3563393141178799</v>
      </c>
      <c r="N23" t="s">
        <v>217</v>
      </c>
      <c r="O23" t="s">
        <v>218</v>
      </c>
    </row>
    <row r="24" spans="2:17" x14ac:dyDescent="0.2">
      <c r="B24">
        <v>2016</v>
      </c>
      <c r="C24" s="5">
        <v>0.161</v>
      </c>
      <c r="D24" s="6">
        <v>4460.1407650000001</v>
      </c>
      <c r="E24" s="5">
        <v>0.40919178726063599</v>
      </c>
      <c r="F24" s="6">
        <v>1824.197572885</v>
      </c>
      <c r="G24" s="6">
        <v>289.74168290750231</v>
      </c>
      <c r="H24" s="29">
        <v>144.87084145</v>
      </c>
      <c r="I24" s="5">
        <v>7.9416200004867904E-2</v>
      </c>
      <c r="J24" s="5">
        <v>0.75958379999513204</v>
      </c>
      <c r="K24" s="5">
        <v>0.17287467159131401</v>
      </c>
      <c r="L24" s="5">
        <v>1.65347624240636</v>
      </c>
      <c r="N24" t="s">
        <v>233</v>
      </c>
      <c r="O24">
        <f>I11/J11</f>
        <v>0.3126117879730993</v>
      </c>
    </row>
    <row r="25" spans="2:17" x14ac:dyDescent="0.2">
      <c r="B25">
        <v>2017</v>
      </c>
      <c r="C25" s="5">
        <v>0.17100000000000001</v>
      </c>
      <c r="D25" s="6">
        <v>5154.9193210000003</v>
      </c>
      <c r="E25" s="5">
        <v>0.472659417161085</v>
      </c>
      <c r="F25" s="6">
        <v>2438.2768388330001</v>
      </c>
      <c r="G25" s="6">
        <v>115.15999682625556</v>
      </c>
      <c r="H25" s="29">
        <v>57.579998400000001</v>
      </c>
      <c r="I25" s="5">
        <v>2.3615037636416002E-2</v>
      </c>
      <c r="J25" s="5">
        <v>0.80538496236358403</v>
      </c>
      <c r="K25" s="5">
        <v>5.03091948078596E-2</v>
      </c>
      <c r="L25" s="5">
        <v>1.7157825276716201</v>
      </c>
      <c r="O25">
        <f>I12/J12</f>
        <v>7.607139298811158E-2</v>
      </c>
      <c r="P25">
        <f>AVERAGE(O24:O26)</f>
        <v>0.16383597611742576</v>
      </c>
    </row>
    <row r="26" spans="2:17" x14ac:dyDescent="0.2">
      <c r="B26">
        <v>2018</v>
      </c>
      <c r="C26" s="5">
        <v>0.19400000000000001</v>
      </c>
      <c r="D26" s="6">
        <v>5788.954084</v>
      </c>
      <c r="E26" s="5">
        <v>0.367483286476399</v>
      </c>
      <c r="F26" s="6">
        <v>2124.5461488279998</v>
      </c>
      <c r="G26" s="6">
        <v>418.26413052965734</v>
      </c>
      <c r="H26" s="29">
        <v>209.13206525000001</v>
      </c>
      <c r="I26" s="5">
        <v>9.8436110850401798E-2</v>
      </c>
      <c r="J26" s="5">
        <v>0.707563889149598</v>
      </c>
      <c r="K26" s="5">
        <v>0.20027927379600799</v>
      </c>
      <c r="L26" s="5">
        <v>1.4396178461228</v>
      </c>
      <c r="O26">
        <f>I13/J13</f>
        <v>0.10282474739106641</v>
      </c>
    </row>
    <row r="27" spans="2:17" x14ac:dyDescent="0.2">
      <c r="B27">
        <v>2019</v>
      </c>
      <c r="C27" s="5">
        <v>0.21199999999999999</v>
      </c>
      <c r="D27" s="6">
        <v>5491.4452869999996</v>
      </c>
      <c r="E27" s="5">
        <v>0.45752116206358101</v>
      </c>
      <c r="F27" s="6">
        <v>2515.0819414460002</v>
      </c>
      <c r="G27" s="6">
        <v>137.18353047741934</v>
      </c>
      <c r="H27" s="29">
        <v>68.591765249999995</v>
      </c>
      <c r="I27" s="5">
        <v>2.72721795858815E-2</v>
      </c>
      <c r="J27" s="5">
        <v>0.76072782041411902</v>
      </c>
      <c r="K27" s="5">
        <v>5.3684974179693701E-2</v>
      </c>
      <c r="L27" s="5">
        <v>1.49748403013043</v>
      </c>
    </row>
    <row r="28" spans="2:17" x14ac:dyDescent="0.2">
      <c r="G28">
        <v>0</v>
      </c>
    </row>
    <row r="29" spans="2:17" x14ac:dyDescent="0.2">
      <c r="B29" t="s">
        <v>213</v>
      </c>
      <c r="C29" s="5">
        <f>MIN(C$3:C$27)</f>
        <v>7.0999999999999994E-2</v>
      </c>
      <c r="H29" t="s">
        <v>213</v>
      </c>
      <c r="I29" s="5">
        <f>MIN(I$3:I$27)</f>
        <v>2.3615037636416002E-2</v>
      </c>
      <c r="J29" s="5">
        <f>MIN(J$3:J$27)</f>
        <v>0.33384499246295601</v>
      </c>
      <c r="K29" s="5">
        <f>MIN(K$3:K$27)</f>
        <v>5.03091948078596E-2</v>
      </c>
      <c r="L29" s="5">
        <f t="shared" ref="L29" si="0">MIN(L$3:L$27)</f>
        <v>0.64147421585334796</v>
      </c>
    </row>
    <row r="30" spans="2:17" x14ac:dyDescent="0.2">
      <c r="B30" t="s">
        <v>214</v>
      </c>
      <c r="C30" s="5">
        <f>MAX(C$3:C$27)</f>
        <v>0.33900000000000002</v>
      </c>
      <c r="H30" t="s">
        <v>214</v>
      </c>
      <c r="I30" s="5">
        <f>MAX(I$3:I$27)</f>
        <v>0.44015500753704401</v>
      </c>
      <c r="J30" s="5">
        <f>MAX(J$3:J$27)</f>
        <v>0.83862981919608603</v>
      </c>
      <c r="K30" s="5">
        <f t="shared" ref="K30:L30" si="1">MAX(K$3:K$27)</f>
        <v>0.84574606385650397</v>
      </c>
      <c r="L30" s="5">
        <f t="shared" si="1"/>
        <v>2.3648472526628601</v>
      </c>
    </row>
    <row r="31" spans="2:17" x14ac:dyDescent="0.2">
      <c r="B31" t="s">
        <v>234</v>
      </c>
      <c r="C31" s="5">
        <f>AVERAGE(C$3:C$27)</f>
        <v>0.20512000000000005</v>
      </c>
      <c r="H31" t="s">
        <v>234</v>
      </c>
      <c r="I31" s="5">
        <f>AVERAGE(I$3:I$27)</f>
        <v>9.4330712514530152E-2</v>
      </c>
      <c r="J31" s="5">
        <f>AVERAGE(J$3:J$27)</f>
        <v>0.70054928748546985</v>
      </c>
      <c r="K31" s="5">
        <f t="shared" ref="K31:L31" si="2">AVERAGE(K$3:K$27)</f>
        <v>0.19288916058387476</v>
      </c>
      <c r="L31" s="5">
        <f t="shared" si="2"/>
        <v>1.4452719719168876</v>
      </c>
    </row>
    <row r="32" spans="2:17" x14ac:dyDescent="0.2">
      <c r="H32" t="s">
        <v>72</v>
      </c>
      <c r="I32" s="5">
        <f>STDEV(I$3:I$27)/SQRT(COUNT(I$3:I$27))</f>
        <v>1.6682922753978275E-2</v>
      </c>
    </row>
    <row r="35" ht="17" customHeight="1" x14ac:dyDescent="0.2"/>
  </sheetData>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DataSources</vt:lpstr>
      <vt:lpstr>ProcessVar</vt:lpstr>
      <vt:lpstr>Fetal Sex Ratio</vt:lpstr>
      <vt:lpstr>Pregnancy</vt:lpstr>
      <vt:lpstr>Cow Abundance</vt:lpstr>
      <vt:lpstr>Abundance In-Out</vt:lpstr>
      <vt:lpstr>Cow Age Structure</vt:lpstr>
      <vt:lpstr>FemBirths</vt:lpstr>
      <vt:lpstr>Adult Survival</vt:lpstr>
      <vt:lpstr>Harvest</vt:lpstr>
      <vt:lpstr>Calf survival</vt:lpstr>
      <vt:lpstr>Calf Hazards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Lainie Brice</dc:creator>
  <cp:lastModifiedBy>Lainie Brice</cp:lastModifiedBy>
  <dcterms:created xsi:type="dcterms:W3CDTF">2025-05-01T16:31:13Z</dcterms:created>
  <dcterms:modified xsi:type="dcterms:W3CDTF">2025-05-29T20:43:41Z</dcterms:modified>
</cp:coreProperties>
</file>